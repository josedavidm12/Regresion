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udeaeduco-my.sharepoint.com/personal/juan_espana_udea_edu_co/Documents/001_Docencia/LEA_P/LEA3_P/"/>
    </mc:Choice>
  </mc:AlternateContent>
  <xr:revisionPtr revIDLastSave="3502" documentId="8_{D43876B3-ED52-45DB-97D2-703D879A820F}" xr6:coauthVersionLast="47" xr6:coauthVersionMax="47" xr10:uidLastSave="{BC4EBF56-1E8F-49E8-B3A7-4F77782E913A}"/>
  <bookViews>
    <workbookView xWindow="-28920" yWindow="-4815" windowWidth="29040" windowHeight="15720" tabRatio="862" xr2:uid="{2C2C459D-BFB1-423E-975D-43F015FD9D8F}"/>
  </bookViews>
  <sheets>
    <sheet name="consolidado_notas" sheetId="3" r:id="rId1"/>
    <sheet name="grupos HR" sheetId="23" state="hidden" r:id="rId2"/>
    <sheet name="seguimiento_HR" sheetId="1" r:id="rId3"/>
    <sheet name="seguimiento_mark" sheetId="20" r:id="rId4"/>
    <sheet name="seguimiento_salud" sheetId="21" r:id="rId5"/>
    <sheet name="seguimiento_finanzas" sheetId="22" r:id="rId6"/>
    <sheet name="bonificaciones" sheetId="18" r:id="rId7"/>
    <sheet name="retroalimenación" sheetId="8" r:id="rId8"/>
    <sheet name="seguimientos_extra" sheetId="24" r:id="rId9"/>
  </sheets>
  <definedNames>
    <definedName name="_xlnm._FilterDatabase" localSheetId="6" hidden="1">bonificaciones!$A$2:$J$2</definedName>
    <definedName name="_xlnm._FilterDatabase" localSheetId="0" hidden="1">consolidado_notas!$A$2:$W$27</definedName>
    <definedName name="_xlnm._FilterDatabase" localSheetId="7" hidden="1">retroalimenación!$A$1:$H$1</definedName>
    <definedName name="_xlnm._FilterDatabase" localSheetId="5" hidden="1">seguimiento_finanzas!$A$2:$J$2</definedName>
    <definedName name="_xlnm._FilterDatabase" localSheetId="2" hidden="1">seguimiento_HR!$A$2:$L$2</definedName>
    <definedName name="_xlnm._FilterDatabase" localSheetId="3" hidden="1">seguimiento_mark!$A$2:$J$2</definedName>
    <definedName name="_xlnm._FilterDatabase" localSheetId="4" hidden="1">seguimiento_salud!$A$2:$J$2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1" i="3" l="1"/>
  <c r="T24" i="3"/>
  <c r="T26" i="3"/>
  <c r="T5" i="3"/>
  <c r="T9" i="3"/>
  <c r="T14" i="3"/>
  <c r="T23" i="3"/>
  <c r="T8" i="3"/>
  <c r="T16" i="3"/>
  <c r="T20" i="3"/>
  <c r="T12" i="3"/>
  <c r="T21" i="3"/>
  <c r="T22" i="3"/>
  <c r="T4" i="3"/>
  <c r="T7" i="3"/>
  <c r="T15" i="3"/>
  <c r="T25" i="3"/>
  <c r="T13" i="3"/>
  <c r="T18" i="3"/>
  <c r="T19" i="3"/>
  <c r="T27" i="3"/>
  <c r="T6" i="3"/>
  <c r="T10" i="3"/>
  <c r="T17" i="3"/>
  <c r="T3" i="3"/>
  <c r="E4" i="22"/>
  <c r="F4" i="22" s="1"/>
  <c r="E5" i="22"/>
  <c r="F5" i="22" s="1"/>
  <c r="E6" i="22"/>
  <c r="F6" i="22"/>
  <c r="E7" i="22"/>
  <c r="F7" i="22"/>
  <c r="E8" i="22"/>
  <c r="F8" i="22" s="1"/>
  <c r="E9" i="22"/>
  <c r="F9" i="22" s="1"/>
  <c r="E10" i="22"/>
  <c r="F10" i="22"/>
  <c r="F3" i="22"/>
  <c r="E3" i="22"/>
  <c r="E3" i="21"/>
  <c r="F3" i="21" s="1"/>
  <c r="G3" i="21" s="1"/>
  <c r="E4" i="21"/>
  <c r="F4" i="21" s="1"/>
  <c r="G4" i="21" s="1"/>
  <c r="E5" i="21"/>
  <c r="F5" i="21" s="1"/>
  <c r="G5" i="21" s="1"/>
  <c r="E6" i="21"/>
  <c r="F6" i="21"/>
  <c r="G6" i="21" s="1"/>
  <c r="E7" i="21"/>
  <c r="F7" i="21" s="1"/>
  <c r="G7" i="21" s="1"/>
  <c r="E8" i="21"/>
  <c r="F8" i="21" s="1"/>
  <c r="G8" i="21" s="1"/>
  <c r="E9" i="21"/>
  <c r="F9" i="21" s="1"/>
  <c r="G9" i="21" s="1"/>
  <c r="E10" i="21"/>
  <c r="F10" i="21"/>
  <c r="G10" i="21" s="1"/>
  <c r="E3" i="20"/>
  <c r="F3" i="20" s="1"/>
  <c r="G3" i="20" s="1"/>
  <c r="F4" i="20"/>
  <c r="G4" i="20" s="1"/>
  <c r="F5" i="20"/>
  <c r="G5" i="20" s="1"/>
  <c r="F6" i="20"/>
  <c r="G6" i="20"/>
  <c r="F7" i="20"/>
  <c r="G7" i="20"/>
  <c r="F8" i="20"/>
  <c r="G8" i="20" s="1"/>
  <c r="F9" i="20"/>
  <c r="G9" i="20" s="1"/>
  <c r="F10" i="20"/>
  <c r="G10" i="20"/>
  <c r="E4" i="20"/>
  <c r="E5" i="20"/>
  <c r="E6" i="20"/>
  <c r="E7" i="20"/>
  <c r="E8" i="20"/>
  <c r="E9" i="20"/>
  <c r="E10" i="20"/>
  <c r="J10" i="22"/>
  <c r="J27" i="22"/>
  <c r="J9" i="22"/>
  <c r="J26" i="22"/>
  <c r="J25" i="22"/>
  <c r="J24" i="22"/>
  <c r="J23" i="22"/>
  <c r="J8" i="22"/>
  <c r="J7" i="22"/>
  <c r="J6" i="22"/>
  <c r="J5" i="22"/>
  <c r="J22" i="22"/>
  <c r="J4" i="22"/>
  <c r="J3" i="22"/>
  <c r="J21" i="22"/>
  <c r="J20" i="22"/>
  <c r="J19" i="22"/>
  <c r="J18" i="22"/>
  <c r="J17" i="22"/>
  <c r="J16" i="22"/>
  <c r="J15" i="22"/>
  <c r="J14" i="22"/>
  <c r="J13" i="22"/>
  <c r="J12" i="22"/>
  <c r="J11" i="22"/>
  <c r="J27" i="21"/>
  <c r="J10" i="21"/>
  <c r="J9" i="21"/>
  <c r="J26" i="21"/>
  <c r="J8" i="21"/>
  <c r="J25" i="21"/>
  <c r="J24" i="21"/>
  <c r="J23" i="21"/>
  <c r="J22" i="21"/>
  <c r="J7" i="21"/>
  <c r="J21" i="21"/>
  <c r="J20" i="21"/>
  <c r="J19" i="21"/>
  <c r="J18" i="21"/>
  <c r="J6" i="21"/>
  <c r="J17" i="21"/>
  <c r="J16" i="21"/>
  <c r="J15" i="21"/>
  <c r="J14" i="21"/>
  <c r="J13" i="21"/>
  <c r="J12" i="21"/>
  <c r="J11" i="21"/>
  <c r="J5" i="21"/>
  <c r="J4" i="21"/>
  <c r="J3" i="21"/>
  <c r="J12" i="20"/>
  <c r="J13" i="20"/>
  <c r="J14" i="20"/>
  <c r="J15" i="20"/>
  <c r="J3" i="20"/>
  <c r="J16" i="20"/>
  <c r="J17" i="20"/>
  <c r="J18" i="20"/>
  <c r="J4" i="20"/>
  <c r="J19" i="20"/>
  <c r="J5" i="20"/>
  <c r="J6" i="20"/>
  <c r="J20" i="20"/>
  <c r="J7" i="20"/>
  <c r="J21" i="20"/>
  <c r="J8" i="20"/>
  <c r="J22" i="20"/>
  <c r="J9" i="20"/>
  <c r="J23" i="20"/>
  <c r="J24" i="20"/>
  <c r="J25" i="20"/>
  <c r="J26" i="20"/>
  <c r="J27" i="20"/>
  <c r="J10" i="20"/>
  <c r="J11" i="20"/>
  <c r="F4" i="1"/>
  <c r="G4" i="1" s="1"/>
  <c r="H4" i="1" s="1"/>
  <c r="I4" i="1" s="1"/>
  <c r="F5" i="1"/>
  <c r="G5" i="1" s="1"/>
  <c r="H5" i="1" s="1"/>
  <c r="I5" i="1" s="1"/>
  <c r="F6" i="1"/>
  <c r="G6" i="1" s="1"/>
  <c r="H6" i="1" s="1"/>
  <c r="I6" i="1" s="1"/>
  <c r="F7" i="1"/>
  <c r="G7" i="1" s="1"/>
  <c r="H7" i="1" s="1"/>
  <c r="I7" i="1" s="1"/>
  <c r="F8" i="1"/>
  <c r="G8" i="1" s="1"/>
  <c r="H8" i="1" s="1"/>
  <c r="I8" i="1" s="1"/>
  <c r="F9" i="1"/>
  <c r="G9" i="1" s="1"/>
  <c r="H9" i="1" s="1"/>
  <c r="I9" i="1" s="1"/>
  <c r="F10" i="1"/>
  <c r="G10" i="1" s="1"/>
  <c r="H10" i="1" s="1"/>
  <c r="I10" i="1" s="1"/>
  <c r="I3" i="1"/>
  <c r="H3" i="1"/>
  <c r="G3" i="1"/>
  <c r="F3" i="1"/>
  <c r="D27" i="1"/>
  <c r="E27" i="1" s="1"/>
  <c r="L27" i="1"/>
  <c r="L12" i="1"/>
  <c r="L13" i="1"/>
  <c r="L14" i="1"/>
  <c r="L15" i="1"/>
  <c r="L16" i="1"/>
  <c r="L17" i="1"/>
  <c r="L18" i="1"/>
  <c r="L19" i="1"/>
  <c r="L20" i="1"/>
  <c r="L21" i="1"/>
  <c r="L3" i="1"/>
  <c r="L22" i="1"/>
  <c r="L4" i="1"/>
  <c r="L5" i="1"/>
  <c r="L6" i="1"/>
  <c r="L7" i="1"/>
  <c r="L8" i="1"/>
  <c r="L23" i="1"/>
  <c r="L24" i="1"/>
  <c r="L25" i="1"/>
  <c r="L26" i="1"/>
  <c r="L9" i="1"/>
  <c r="L10" i="1"/>
  <c r="L11" i="1"/>
  <c r="D351" i="8"/>
  <c r="D350" i="8"/>
  <c r="D349" i="8"/>
  <c r="D348" i="8"/>
  <c r="D347" i="8"/>
  <c r="D346" i="8"/>
  <c r="B347" i="8"/>
  <c r="B348" i="8" s="1"/>
  <c r="B349" i="8" s="1"/>
  <c r="B350" i="8" s="1"/>
  <c r="B351" i="8" s="1"/>
  <c r="B352" i="8" s="1"/>
  <c r="B353" i="8" s="1"/>
  <c r="D353" i="8" s="1"/>
  <c r="B339" i="8"/>
  <c r="B340" i="8" s="1"/>
  <c r="D338" i="8"/>
  <c r="B331" i="8"/>
  <c r="B332" i="8" s="1"/>
  <c r="D330" i="8"/>
  <c r="F309" i="8"/>
  <c r="F329" i="8"/>
  <c r="F324" i="8"/>
  <c r="F319" i="8"/>
  <c r="F314" i="8"/>
  <c r="F304" i="8"/>
  <c r="F299" i="8"/>
  <c r="F294" i="8"/>
  <c r="E329" i="8"/>
  <c r="E324" i="8"/>
  <c r="F259" i="8"/>
  <c r="F289" i="8"/>
  <c r="F283" i="8"/>
  <c r="F277" i="8"/>
  <c r="F271" i="8"/>
  <c r="F265" i="8"/>
  <c r="F253" i="8"/>
  <c r="F247" i="8"/>
  <c r="E289" i="8"/>
  <c r="D290" i="8"/>
  <c r="D291" i="8"/>
  <c r="D292" i="8"/>
  <c r="D293" i="8"/>
  <c r="D294" i="8"/>
  <c r="E294" i="8"/>
  <c r="B295" i="8"/>
  <c r="D295" i="8" s="1"/>
  <c r="E283" i="8"/>
  <c r="D9" i="22"/>
  <c r="D5" i="22"/>
  <c r="G5" i="22" s="1"/>
  <c r="D16" i="22"/>
  <c r="G16" i="22" s="1"/>
  <c r="D6" i="22"/>
  <c r="H6" i="22" s="1"/>
  <c r="D19" i="22"/>
  <c r="G19" i="22" s="1"/>
  <c r="D17" i="22"/>
  <c r="D27" i="22"/>
  <c r="G27" i="22" s="1"/>
  <c r="D11" i="22"/>
  <c r="I11" i="22" s="1"/>
  <c r="D4" i="22"/>
  <c r="I4" i="22" s="1"/>
  <c r="D23" i="22"/>
  <c r="G23" i="22" s="1"/>
  <c r="D15" i="22"/>
  <c r="G15" i="22" s="1"/>
  <c r="D7" i="22"/>
  <c r="G7" i="22" s="1"/>
  <c r="D20" i="22"/>
  <c r="I20" i="22" s="1"/>
  <c r="D10" i="22"/>
  <c r="G10" i="22" s="1"/>
  <c r="D24" i="22"/>
  <c r="I24" i="22" s="1"/>
  <c r="D25" i="22"/>
  <c r="G25" i="22" s="1"/>
  <c r="D21" i="22"/>
  <c r="G21" i="22" s="1"/>
  <c r="D22" i="22"/>
  <c r="G22" i="22" s="1"/>
  <c r="D3" i="22"/>
  <c r="D18" i="22"/>
  <c r="I18" i="22" s="1"/>
  <c r="D13" i="22"/>
  <c r="I13" i="22" s="1"/>
  <c r="D8" i="22"/>
  <c r="H8" i="22" s="1"/>
  <c r="D14" i="22"/>
  <c r="I14" i="22" s="1"/>
  <c r="D26" i="22"/>
  <c r="G26" i="22" s="1"/>
  <c r="D12" i="22"/>
  <c r="H12" i="22" s="1"/>
  <c r="D3" i="21"/>
  <c r="D13" i="21"/>
  <c r="D4" i="21"/>
  <c r="D5" i="21"/>
  <c r="D14" i="21"/>
  <c r="D15" i="21"/>
  <c r="D16" i="21"/>
  <c r="D17" i="21"/>
  <c r="D6" i="21"/>
  <c r="D11" i="21"/>
  <c r="D25" i="21"/>
  <c r="D8" i="21"/>
  <c r="D26" i="21"/>
  <c r="D9" i="21"/>
  <c r="D18" i="21"/>
  <c r="D19" i="21"/>
  <c r="D20" i="21"/>
  <c r="D21" i="21"/>
  <c r="D7" i="21"/>
  <c r="D22" i="21"/>
  <c r="D23" i="21"/>
  <c r="D10" i="21"/>
  <c r="D27" i="21"/>
  <c r="D24" i="21"/>
  <c r="D12" i="21"/>
  <c r="F241" i="8"/>
  <c r="F235" i="8"/>
  <c r="F229" i="8"/>
  <c r="F223" i="8"/>
  <c r="F217" i="8"/>
  <c r="F211" i="8"/>
  <c r="F205" i="8"/>
  <c r="F199" i="8"/>
  <c r="E241" i="8"/>
  <c r="E235" i="8"/>
  <c r="F193" i="8"/>
  <c r="E193" i="8"/>
  <c r="F187" i="8"/>
  <c r="F175" i="8"/>
  <c r="F169" i="8"/>
  <c r="F163" i="8"/>
  <c r="F157" i="8"/>
  <c r="F151" i="8"/>
  <c r="D14" i="20"/>
  <c r="D27" i="20"/>
  <c r="D17" i="20"/>
  <c r="D19" i="20"/>
  <c r="D13" i="20"/>
  <c r="D21" i="20"/>
  <c r="D16" i="20"/>
  <c r="D12" i="20"/>
  <c r="D22" i="20"/>
  <c r="D25" i="20"/>
  <c r="D7" i="20"/>
  <c r="D26" i="20"/>
  <c r="D3" i="20"/>
  <c r="D4" i="20"/>
  <c r="D6" i="20"/>
  <c r="D8" i="20"/>
  <c r="D10" i="20"/>
  <c r="D24" i="20"/>
  <c r="D20" i="20"/>
  <c r="D15" i="20"/>
  <c r="D23" i="20"/>
  <c r="D18" i="20"/>
  <c r="D5" i="20"/>
  <c r="D9" i="20"/>
  <c r="D11" i="20"/>
  <c r="F139" i="8"/>
  <c r="F121" i="8"/>
  <c r="J27" i="1" l="1"/>
  <c r="I3" i="22"/>
  <c r="I10" i="22"/>
  <c r="I9" i="22"/>
  <c r="G8" i="22"/>
  <c r="H10" i="22"/>
  <c r="I19" i="22"/>
  <c r="I17" i="22"/>
  <c r="G12" i="22"/>
  <c r="H24" i="22"/>
  <c r="H26" i="22"/>
  <c r="I26" i="22"/>
  <c r="H4" i="22"/>
  <c r="I22" i="22"/>
  <c r="G18" i="22"/>
  <c r="H13" i="22"/>
  <c r="I16" i="22"/>
  <c r="G24" i="22"/>
  <c r="G11" i="22"/>
  <c r="H22" i="22"/>
  <c r="I23" i="22"/>
  <c r="G4" i="22"/>
  <c r="H9" i="22"/>
  <c r="I21" i="22"/>
  <c r="G13" i="22"/>
  <c r="H3" i="22"/>
  <c r="H18" i="22"/>
  <c r="H11" i="22"/>
  <c r="I27" i="22"/>
  <c r="H20" i="22"/>
  <c r="I6" i="22"/>
  <c r="G9" i="22"/>
  <c r="C9" i="22" s="1"/>
  <c r="H17" i="22"/>
  <c r="G3" i="22"/>
  <c r="C3" i="22" s="1"/>
  <c r="H15" i="22"/>
  <c r="I7" i="22"/>
  <c r="H14" i="22"/>
  <c r="I25" i="22"/>
  <c r="G20" i="22"/>
  <c r="H27" i="22"/>
  <c r="G17" i="22"/>
  <c r="H16" i="22"/>
  <c r="I15" i="22"/>
  <c r="G14" i="22"/>
  <c r="H21" i="22"/>
  <c r="I8" i="22"/>
  <c r="H5" i="22"/>
  <c r="H25" i="22"/>
  <c r="I12" i="22"/>
  <c r="H7" i="22"/>
  <c r="I5" i="22"/>
  <c r="H19" i="22"/>
  <c r="H23" i="22"/>
  <c r="G6" i="22"/>
  <c r="D352" i="8"/>
  <c r="B341" i="8"/>
  <c r="D340" i="8"/>
  <c r="D339" i="8"/>
  <c r="B333" i="8"/>
  <c r="B334" i="8" s="1"/>
  <c r="B335" i="8" s="1"/>
  <c r="D332" i="8"/>
  <c r="D331" i="8"/>
  <c r="D333" i="8"/>
  <c r="F145" i="8"/>
  <c r="E145" i="8"/>
  <c r="F109" i="8"/>
  <c r="F115" i="8"/>
  <c r="F97" i="8"/>
  <c r="E139" i="8"/>
  <c r="F91" i="8"/>
  <c r="F85" i="8"/>
  <c r="E97" i="8"/>
  <c r="F79" i="8"/>
  <c r="F73" i="8"/>
  <c r="F67" i="8"/>
  <c r="F55" i="8"/>
  <c r="E91" i="8"/>
  <c r="F49" i="8"/>
  <c r="F43" i="8"/>
  <c r="F19" i="8"/>
  <c r="F13" i="8"/>
  <c r="F37" i="8"/>
  <c r="F31" i="8"/>
  <c r="F25" i="8"/>
  <c r="F7" i="8"/>
  <c r="E49" i="8"/>
  <c r="E43" i="8"/>
  <c r="D21" i="1"/>
  <c r="E21" i="1" s="1"/>
  <c r="D22" i="1"/>
  <c r="D4" i="1"/>
  <c r="E4" i="1" s="1"/>
  <c r="D18" i="1"/>
  <c r="E18" i="1" s="1"/>
  <c r="D13" i="1"/>
  <c r="E13" i="1" s="1"/>
  <c r="D8" i="1"/>
  <c r="C4" i="18"/>
  <c r="C5" i="18"/>
  <c r="C6" i="18"/>
  <c r="C7" i="18"/>
  <c r="C8" i="18"/>
  <c r="C9" i="18"/>
  <c r="C10" i="18"/>
  <c r="C11" i="18"/>
  <c r="C12" i="18"/>
  <c r="C13" i="18"/>
  <c r="C14" i="18"/>
  <c r="C15" i="18"/>
  <c r="C16" i="18"/>
  <c r="C17" i="18"/>
  <c r="C18" i="18"/>
  <c r="C19" i="18"/>
  <c r="C20" i="18"/>
  <c r="C21" i="18"/>
  <c r="C22" i="18"/>
  <c r="C23" i="18"/>
  <c r="C24" i="18"/>
  <c r="C25" i="18"/>
  <c r="C26" i="18"/>
  <c r="C27" i="18"/>
  <c r="C3" i="18"/>
  <c r="D5" i="1"/>
  <c r="D15" i="1"/>
  <c r="D9" i="1"/>
  <c r="D6" i="1"/>
  <c r="D19" i="1"/>
  <c r="D16" i="1"/>
  <c r="D24" i="1"/>
  <c r="D12" i="1"/>
  <c r="D3" i="1"/>
  <c r="D25" i="1"/>
  <c r="D17" i="1"/>
  <c r="D7" i="1"/>
  <c r="D20" i="1"/>
  <c r="D10" i="1"/>
  <c r="D26" i="1"/>
  <c r="D23" i="1"/>
  <c r="D11" i="1"/>
  <c r="E319" i="8"/>
  <c r="E314" i="8"/>
  <c r="E309" i="8"/>
  <c r="E304" i="8"/>
  <c r="B296" i="8"/>
  <c r="D296" i="8" s="1"/>
  <c r="B297" i="8"/>
  <c r="B302" i="8" s="1"/>
  <c r="B307" i="8" s="1"/>
  <c r="B298" i="8"/>
  <c r="D298" i="8" s="1"/>
  <c r="B299" i="8"/>
  <c r="D299" i="8" s="1"/>
  <c r="E299" i="8"/>
  <c r="E277" i="8"/>
  <c r="E271" i="8"/>
  <c r="E265" i="8"/>
  <c r="E259" i="8"/>
  <c r="E253" i="8"/>
  <c r="B252" i="8"/>
  <c r="B258" i="8" s="1"/>
  <c r="B251" i="8"/>
  <c r="B257" i="8" s="1"/>
  <c r="B250" i="8"/>
  <c r="B256" i="8" s="1"/>
  <c r="B249" i="8"/>
  <c r="B255" i="8" s="1"/>
  <c r="B248" i="8"/>
  <c r="B254" i="8" s="1"/>
  <c r="E247" i="8"/>
  <c r="B247" i="8"/>
  <c r="B253" i="8" s="1"/>
  <c r="D246" i="8"/>
  <c r="D245" i="8"/>
  <c r="D244" i="8"/>
  <c r="D243" i="8"/>
  <c r="D242" i="8"/>
  <c r="B200" i="8"/>
  <c r="B206" i="8" s="1"/>
  <c r="B212" i="8" s="1"/>
  <c r="B218" i="8" s="1"/>
  <c r="B224" i="8" s="1"/>
  <c r="B230" i="8" s="1"/>
  <c r="B236" i="8" s="1"/>
  <c r="D236" i="8" s="1"/>
  <c r="B201" i="8"/>
  <c r="D201" i="8" s="1"/>
  <c r="B202" i="8"/>
  <c r="B208" i="8" s="1"/>
  <c r="B214" i="8" s="1"/>
  <c r="B220" i="8" s="1"/>
  <c r="B226" i="8" s="1"/>
  <c r="B232" i="8" s="1"/>
  <c r="B238" i="8" s="1"/>
  <c r="D238" i="8" s="1"/>
  <c r="B203" i="8"/>
  <c r="B209" i="8" s="1"/>
  <c r="B215" i="8" s="1"/>
  <c r="B221" i="8" s="1"/>
  <c r="B227" i="8" s="1"/>
  <c r="B233" i="8" s="1"/>
  <c r="B239" i="8" s="1"/>
  <c r="D239" i="8" s="1"/>
  <c r="B204" i="8"/>
  <c r="B210" i="8" s="1"/>
  <c r="B216" i="8" s="1"/>
  <c r="B222" i="8" s="1"/>
  <c r="B228" i="8" s="1"/>
  <c r="B234" i="8" s="1"/>
  <c r="B240" i="8" s="1"/>
  <c r="D240" i="8" s="1"/>
  <c r="B205" i="8"/>
  <c r="B211" i="8" s="1"/>
  <c r="D211" i="8" s="1"/>
  <c r="E229" i="8"/>
  <c r="E223" i="8"/>
  <c r="E217" i="8"/>
  <c r="E211" i="8"/>
  <c r="E205" i="8"/>
  <c r="E199" i="8"/>
  <c r="D199" i="8"/>
  <c r="D198" i="8"/>
  <c r="D197" i="8"/>
  <c r="D196" i="8"/>
  <c r="D195" i="8"/>
  <c r="D194" i="8"/>
  <c r="D146" i="8"/>
  <c r="D147" i="8"/>
  <c r="D148" i="8"/>
  <c r="D149" i="8"/>
  <c r="D150" i="8"/>
  <c r="B151" i="8"/>
  <c r="B157" i="8" s="1"/>
  <c r="B163" i="8" s="1"/>
  <c r="E151" i="8"/>
  <c r="B152" i="8"/>
  <c r="D152" i="8" s="1"/>
  <c r="B153" i="8"/>
  <c r="B159" i="8" s="1"/>
  <c r="B154" i="8"/>
  <c r="D154" i="8" s="1"/>
  <c r="B155" i="8"/>
  <c r="D155" i="8" s="1"/>
  <c r="B156" i="8"/>
  <c r="D156" i="8" s="1"/>
  <c r="E157" i="8"/>
  <c r="E163" i="8"/>
  <c r="E169" i="8"/>
  <c r="E175" i="8"/>
  <c r="E181" i="8"/>
  <c r="E133" i="8"/>
  <c r="E127" i="8"/>
  <c r="E121" i="8"/>
  <c r="E115" i="8"/>
  <c r="E109" i="8"/>
  <c r="E103" i="8"/>
  <c r="B109" i="8"/>
  <c r="D109" i="8" s="1"/>
  <c r="B108" i="8"/>
  <c r="D108" i="8" s="1"/>
  <c r="B107" i="8"/>
  <c r="B113" i="8" s="1"/>
  <c r="B106" i="8"/>
  <c r="D106" i="8" s="1"/>
  <c r="B105" i="8"/>
  <c r="D105" i="8" s="1"/>
  <c r="B104" i="8"/>
  <c r="D104" i="8" s="1"/>
  <c r="D103" i="8"/>
  <c r="D102" i="8"/>
  <c r="D101" i="8"/>
  <c r="D100" i="8"/>
  <c r="D99" i="8"/>
  <c r="D98" i="8"/>
  <c r="K27" i="1" l="1"/>
  <c r="C27" i="1" s="1"/>
  <c r="C26" i="22"/>
  <c r="M27" i="3" s="1"/>
  <c r="B342" i="8"/>
  <c r="D341" i="8"/>
  <c r="D334" i="8"/>
  <c r="D335" i="8"/>
  <c r="B336" i="8"/>
  <c r="C12" i="22"/>
  <c r="M3" i="3" s="1"/>
  <c r="D233" i="8"/>
  <c r="D232" i="8"/>
  <c r="D234" i="8"/>
  <c r="D230" i="8"/>
  <c r="D205" i="8"/>
  <c r="D14" i="1"/>
  <c r="D200" i="8"/>
  <c r="B303" i="8"/>
  <c r="D303" i="8" s="1"/>
  <c r="B304" i="8"/>
  <c r="D304" i="8" s="1"/>
  <c r="D307" i="8"/>
  <c r="B312" i="8"/>
  <c r="D204" i="8"/>
  <c r="B300" i="8"/>
  <c r="D297" i="8"/>
  <c r="B301" i="8"/>
  <c r="E8" i="1"/>
  <c r="E22" i="1"/>
  <c r="D302" i="8"/>
  <c r="D203" i="8"/>
  <c r="B158" i="8"/>
  <c r="D158" i="8" s="1"/>
  <c r="B260" i="8"/>
  <c r="D260" i="8" s="1"/>
  <c r="D254" i="8"/>
  <c r="B264" i="8"/>
  <c r="D264" i="8" s="1"/>
  <c r="D258" i="8"/>
  <c r="B160" i="8"/>
  <c r="B166" i="8" s="1"/>
  <c r="D166" i="8" s="1"/>
  <c r="D248" i="8"/>
  <c r="D252" i="8"/>
  <c r="D209" i="8"/>
  <c r="B217" i="8"/>
  <c r="B223" i="8" s="1"/>
  <c r="B229" i="8" s="1"/>
  <c r="B235" i="8" s="1"/>
  <c r="B241" i="8" s="1"/>
  <c r="D241" i="8" s="1"/>
  <c r="B207" i="8"/>
  <c r="D249" i="8"/>
  <c r="D247" i="8"/>
  <c r="D250" i="8"/>
  <c r="D251" i="8"/>
  <c r="D255" i="8"/>
  <c r="B261" i="8"/>
  <c r="D253" i="8"/>
  <c r="B259" i="8"/>
  <c r="D256" i="8"/>
  <c r="B262" i="8"/>
  <c r="D257" i="8"/>
  <c r="B263" i="8"/>
  <c r="D208" i="8"/>
  <c r="D202" i="8"/>
  <c r="D151" i="8"/>
  <c r="B162" i="8"/>
  <c r="D162" i="8" s="1"/>
  <c r="D163" i="8"/>
  <c r="B169" i="8"/>
  <c r="D159" i="8"/>
  <c r="B165" i="8"/>
  <c r="B161" i="8"/>
  <c r="D157" i="8"/>
  <c r="D153" i="8"/>
  <c r="B114" i="8"/>
  <c r="B120" i="8" s="1"/>
  <c r="D120" i="8" s="1"/>
  <c r="B112" i="8"/>
  <c r="D112" i="8" s="1"/>
  <c r="B110" i="8"/>
  <c r="B116" i="8" s="1"/>
  <c r="D116" i="8" s="1"/>
  <c r="D113" i="8"/>
  <c r="B119" i="8"/>
  <c r="D107" i="8"/>
  <c r="B111" i="8"/>
  <c r="B115" i="8"/>
  <c r="E15" i="1"/>
  <c r="E9" i="1"/>
  <c r="E7" i="1"/>
  <c r="E25" i="1"/>
  <c r="E16" i="1"/>
  <c r="E20" i="1"/>
  <c r="E11" i="1"/>
  <c r="E6" i="1"/>
  <c r="E24" i="1"/>
  <c r="E5" i="1"/>
  <c r="E17" i="1"/>
  <c r="E19" i="1"/>
  <c r="E12" i="1"/>
  <c r="E3" i="1"/>
  <c r="E10" i="1"/>
  <c r="E187" i="8"/>
  <c r="D342" i="8" l="1"/>
  <c r="B343" i="8"/>
  <c r="D336" i="8"/>
  <c r="B337" i="8"/>
  <c r="B309" i="8"/>
  <c r="D309" i="8" s="1"/>
  <c r="D235" i="8"/>
  <c r="D160" i="8"/>
  <c r="E14" i="1"/>
  <c r="B308" i="8"/>
  <c r="B313" i="8" s="1"/>
  <c r="B270" i="8"/>
  <c r="D270" i="8" s="1"/>
  <c r="B266" i="8"/>
  <c r="D266" i="8" s="1"/>
  <c r="D301" i="8"/>
  <c r="B306" i="8"/>
  <c r="D300" i="8"/>
  <c r="B305" i="8"/>
  <c r="B164" i="8"/>
  <c r="B170" i="8" s="1"/>
  <c r="D312" i="8"/>
  <c r="B317" i="8"/>
  <c r="B172" i="8"/>
  <c r="D172" i="8" s="1"/>
  <c r="B213" i="8"/>
  <c r="B219" i="8" s="1"/>
  <c r="B225" i="8" s="1"/>
  <c r="B231" i="8" s="1"/>
  <c r="B237" i="8" s="1"/>
  <c r="D237" i="8" s="1"/>
  <c r="D207" i="8"/>
  <c r="D262" i="8"/>
  <c r="B268" i="8"/>
  <c r="D259" i="8"/>
  <c r="B265" i="8"/>
  <c r="D263" i="8"/>
  <c r="B269" i="8"/>
  <c r="B267" i="8"/>
  <c r="D261" i="8"/>
  <c r="D215" i="8"/>
  <c r="D217" i="8"/>
  <c r="D206" i="8"/>
  <c r="D210" i="8"/>
  <c r="D214" i="8"/>
  <c r="D110" i="8"/>
  <c r="B168" i="8"/>
  <c r="B174" i="8" s="1"/>
  <c r="D165" i="8"/>
  <c r="B171" i="8"/>
  <c r="B126" i="8"/>
  <c r="B132" i="8" s="1"/>
  <c r="B138" i="8" s="1"/>
  <c r="D169" i="8"/>
  <c r="B175" i="8"/>
  <c r="B167" i="8"/>
  <c r="D161" i="8"/>
  <c r="B118" i="8"/>
  <c r="B124" i="8" s="1"/>
  <c r="B122" i="8"/>
  <c r="D122" i="8" s="1"/>
  <c r="D114" i="8"/>
  <c r="D126" i="8"/>
  <c r="B121" i="8"/>
  <c r="D115" i="8"/>
  <c r="D111" i="8"/>
  <c r="B117" i="8"/>
  <c r="D119" i="8"/>
  <c r="B125" i="8"/>
  <c r="E26" i="1"/>
  <c r="E23" i="1"/>
  <c r="D50" i="8"/>
  <c r="D51" i="8"/>
  <c r="D52" i="8"/>
  <c r="D53" i="8"/>
  <c r="D54" i="8"/>
  <c r="B57" i="8"/>
  <c r="D57" i="8" s="1"/>
  <c r="B58" i="8"/>
  <c r="D58" i="8" s="1"/>
  <c r="B59" i="8"/>
  <c r="B65" i="8" s="1"/>
  <c r="D65" i="8" s="1"/>
  <c r="B60" i="8"/>
  <c r="D60" i="8" s="1"/>
  <c r="B56" i="8"/>
  <c r="D56" i="8" s="1"/>
  <c r="E85" i="8"/>
  <c r="E79" i="8"/>
  <c r="E73" i="8"/>
  <c r="E67" i="8"/>
  <c r="E61" i="8"/>
  <c r="E55" i="8"/>
  <c r="B55" i="8"/>
  <c r="B61" i="8" s="1"/>
  <c r="D317" i="8" l="1"/>
  <c r="B322" i="8"/>
  <c r="D308" i="8"/>
  <c r="B344" i="8"/>
  <c r="D343" i="8"/>
  <c r="D337" i="8"/>
  <c r="B314" i="8"/>
  <c r="D314" i="8" s="1"/>
  <c r="D231" i="8"/>
  <c r="D138" i="8"/>
  <c r="B144" i="8"/>
  <c r="D144" i="8" s="1"/>
  <c r="B178" i="8"/>
  <c r="D178" i="8" s="1"/>
  <c r="B272" i="8"/>
  <c r="D164" i="8"/>
  <c r="B276" i="8"/>
  <c r="D213" i="8"/>
  <c r="B310" i="8"/>
  <c r="D305" i="8"/>
  <c r="B311" i="8"/>
  <c r="D306" i="8"/>
  <c r="D313" i="8"/>
  <c r="B318" i="8"/>
  <c r="B273" i="8"/>
  <c r="D267" i="8"/>
  <c r="B271" i="8"/>
  <c r="D265" i="8"/>
  <c r="B274" i="8"/>
  <c r="D268" i="8"/>
  <c r="D269" i="8"/>
  <c r="B275" i="8"/>
  <c r="B281" i="8" s="1"/>
  <c r="D219" i="8"/>
  <c r="D225" i="8"/>
  <c r="D212" i="8"/>
  <c r="D226" i="8"/>
  <c r="D220" i="8"/>
  <c r="D223" i="8"/>
  <c r="D229" i="8"/>
  <c r="D216" i="8"/>
  <c r="D221" i="8"/>
  <c r="D227" i="8"/>
  <c r="D168" i="8"/>
  <c r="B177" i="8"/>
  <c r="D177" i="8" s="1"/>
  <c r="D171" i="8"/>
  <c r="B173" i="8"/>
  <c r="D167" i="8"/>
  <c r="B181" i="8"/>
  <c r="D181" i="8" s="1"/>
  <c r="D175" i="8"/>
  <c r="B180" i="8"/>
  <c r="D180" i="8" s="1"/>
  <c r="D174" i="8"/>
  <c r="B176" i="8"/>
  <c r="D176" i="8" s="1"/>
  <c r="D170" i="8"/>
  <c r="B128" i="8"/>
  <c r="D118" i="8"/>
  <c r="D132" i="8"/>
  <c r="B123" i="8"/>
  <c r="D117" i="8"/>
  <c r="B127" i="8"/>
  <c r="D121" i="8"/>
  <c r="B130" i="8"/>
  <c r="B136" i="8" s="1"/>
  <c r="D124" i="8"/>
  <c r="B131" i="8"/>
  <c r="B137" i="8" s="1"/>
  <c r="D125" i="8"/>
  <c r="B62" i="8"/>
  <c r="B68" i="8" s="1"/>
  <c r="D68" i="8" s="1"/>
  <c r="B64" i="8"/>
  <c r="D64" i="8" s="1"/>
  <c r="B66" i="8"/>
  <c r="B72" i="8" s="1"/>
  <c r="D72" i="8" s="1"/>
  <c r="B67" i="8"/>
  <c r="D67" i="8" s="1"/>
  <c r="D61" i="8"/>
  <c r="D55" i="8"/>
  <c r="D59" i="8"/>
  <c r="B71" i="8"/>
  <c r="D71" i="8" s="1"/>
  <c r="B63" i="8"/>
  <c r="D63" i="8" s="1"/>
  <c r="D3" i="8"/>
  <c r="D4" i="8"/>
  <c r="D5" i="8"/>
  <c r="D6" i="8"/>
  <c r="D7" i="8"/>
  <c r="E37" i="8"/>
  <c r="E31" i="8"/>
  <c r="B9" i="8"/>
  <c r="B15" i="8" s="1"/>
  <c r="D15" i="8" s="1"/>
  <c r="B10" i="8"/>
  <c r="D10" i="8" s="1"/>
  <c r="B11" i="8"/>
  <c r="B17" i="8" s="1"/>
  <c r="B12" i="8"/>
  <c r="B18" i="8" s="1"/>
  <c r="B13" i="8"/>
  <c r="D13" i="8" s="1"/>
  <c r="B8" i="8"/>
  <c r="D8" i="8" s="1"/>
  <c r="E25" i="8"/>
  <c r="E19" i="8"/>
  <c r="E13" i="8"/>
  <c r="E7" i="8"/>
  <c r="D2" i="8"/>
  <c r="D322" i="8" l="1"/>
  <c r="B327" i="8"/>
  <c r="D327" i="8" s="1"/>
  <c r="D318" i="8"/>
  <c r="B323" i="8"/>
  <c r="B345" i="8"/>
  <c r="D344" i="8"/>
  <c r="D281" i="8"/>
  <c r="B287" i="8"/>
  <c r="D287" i="8" s="1"/>
  <c r="B319" i="8"/>
  <c r="D276" i="8"/>
  <c r="B282" i="8"/>
  <c r="D274" i="8"/>
  <c r="B280" i="8"/>
  <c r="D272" i="8"/>
  <c r="B278" i="8"/>
  <c r="D273" i="8"/>
  <c r="B279" i="8"/>
  <c r="J11" i="1"/>
  <c r="D136" i="8"/>
  <c r="B142" i="8"/>
  <c r="D142" i="8" s="1"/>
  <c r="D137" i="8"/>
  <c r="B143" i="8"/>
  <c r="D143" i="8" s="1"/>
  <c r="D128" i="8"/>
  <c r="B134" i="8"/>
  <c r="J13" i="1"/>
  <c r="K13" i="1" s="1"/>
  <c r="J12" i="1"/>
  <c r="K12" i="1" s="1"/>
  <c r="J14" i="1"/>
  <c r="K14" i="1" s="1"/>
  <c r="D311" i="8"/>
  <c r="B316" i="8"/>
  <c r="D310" i="8"/>
  <c r="B315" i="8"/>
  <c r="D275" i="8"/>
  <c r="D271" i="8"/>
  <c r="B277" i="8"/>
  <c r="B283" i="8" s="1"/>
  <c r="D218" i="8"/>
  <c r="D224" i="8"/>
  <c r="D222" i="8"/>
  <c r="D228" i="8"/>
  <c r="B179" i="8"/>
  <c r="D179" i="8" s="1"/>
  <c r="D173" i="8"/>
  <c r="D131" i="8"/>
  <c r="D130" i="8"/>
  <c r="D127" i="8"/>
  <c r="B133" i="8"/>
  <c r="B139" i="8" s="1"/>
  <c r="D123" i="8"/>
  <c r="B129" i="8"/>
  <c r="B135" i="8" s="1"/>
  <c r="B73" i="8"/>
  <c r="D73" i="8" s="1"/>
  <c r="B74" i="8"/>
  <c r="D74" i="8" s="1"/>
  <c r="D62" i="8"/>
  <c r="B19" i="8"/>
  <c r="B25" i="8" s="1"/>
  <c r="D25" i="8" s="1"/>
  <c r="B70" i="8"/>
  <c r="D70" i="8" s="1"/>
  <c r="D66" i="8"/>
  <c r="B78" i="8"/>
  <c r="D78" i="8" s="1"/>
  <c r="D12" i="8"/>
  <c r="B14" i="8"/>
  <c r="B69" i="8"/>
  <c r="D69" i="8" s="1"/>
  <c r="B77" i="8"/>
  <c r="D77" i="8" s="1"/>
  <c r="D18" i="8"/>
  <c r="B24" i="8"/>
  <c r="D17" i="8"/>
  <c r="B23" i="8"/>
  <c r="D11" i="8"/>
  <c r="D9" i="8"/>
  <c r="B21" i="8"/>
  <c r="B16" i="8"/>
  <c r="D315" i="8" l="1"/>
  <c r="B320" i="8"/>
  <c r="D316" i="8"/>
  <c r="B321" i="8"/>
  <c r="D323" i="8"/>
  <c r="B328" i="8"/>
  <c r="D328" i="8" s="1"/>
  <c r="D319" i="8"/>
  <c r="B324" i="8"/>
  <c r="D345" i="8"/>
  <c r="D283" i="8"/>
  <c r="B289" i="8"/>
  <c r="D289" i="8" s="1"/>
  <c r="D280" i="8"/>
  <c r="B286" i="8"/>
  <c r="D286" i="8" s="1"/>
  <c r="D282" i="8"/>
  <c r="B288" i="8"/>
  <c r="D288" i="8" s="1"/>
  <c r="D279" i="8"/>
  <c r="B285" i="8"/>
  <c r="D285" i="8" s="1"/>
  <c r="D278" i="8"/>
  <c r="B284" i="8"/>
  <c r="D284" i="8" s="1"/>
  <c r="D134" i="8"/>
  <c r="B140" i="8"/>
  <c r="D140" i="8" s="1"/>
  <c r="D135" i="8"/>
  <c r="B141" i="8"/>
  <c r="D141" i="8" s="1"/>
  <c r="D139" i="8"/>
  <c r="B145" i="8"/>
  <c r="D145" i="8" s="1"/>
  <c r="J15" i="1"/>
  <c r="K15" i="1" s="1"/>
  <c r="K11" i="1"/>
  <c r="C11" i="1" s="1"/>
  <c r="J18" i="1"/>
  <c r="K18" i="1" s="1"/>
  <c r="J16" i="1"/>
  <c r="K16" i="1" s="1"/>
  <c r="J17" i="1"/>
  <c r="K17" i="1" s="1"/>
  <c r="D277" i="8"/>
  <c r="D129" i="8"/>
  <c r="D133" i="8"/>
  <c r="D19" i="8"/>
  <c r="B31" i="8"/>
  <c r="B79" i="8"/>
  <c r="D79" i="8" s="1"/>
  <c r="B80" i="8"/>
  <c r="B76" i="8"/>
  <c r="D76" i="8" s="1"/>
  <c r="B186" i="8"/>
  <c r="B192" i="8" s="1"/>
  <c r="D192" i="8" s="1"/>
  <c r="B182" i="8"/>
  <c r="B188" i="8" s="1"/>
  <c r="D188" i="8" s="1"/>
  <c r="B84" i="8"/>
  <c r="B20" i="8"/>
  <c r="D14" i="8"/>
  <c r="B83" i="8"/>
  <c r="B75" i="8"/>
  <c r="D75" i="8" s="1"/>
  <c r="D23" i="8"/>
  <c r="B29" i="8"/>
  <c r="D24" i="8"/>
  <c r="B30" i="8"/>
  <c r="B22" i="8"/>
  <c r="D16" i="8"/>
  <c r="B27" i="8"/>
  <c r="D21" i="8"/>
  <c r="D321" i="8" l="1"/>
  <c r="B326" i="8"/>
  <c r="D326" i="8" s="1"/>
  <c r="D320" i="8"/>
  <c r="B325" i="8"/>
  <c r="D325" i="8" s="1"/>
  <c r="D324" i="8"/>
  <c r="B329" i="8"/>
  <c r="D329" i="8" s="1"/>
  <c r="J20" i="1"/>
  <c r="K20" i="1" s="1"/>
  <c r="J21" i="1"/>
  <c r="K21" i="1" s="1"/>
  <c r="J19" i="1"/>
  <c r="K19" i="1" s="1"/>
  <c r="D84" i="8"/>
  <c r="B90" i="8"/>
  <c r="D80" i="8"/>
  <c r="B86" i="8"/>
  <c r="D83" i="8"/>
  <c r="B89" i="8"/>
  <c r="B85" i="8"/>
  <c r="D31" i="8"/>
  <c r="B37" i="8"/>
  <c r="B82" i="8"/>
  <c r="B185" i="8"/>
  <c r="B191" i="8" s="1"/>
  <c r="D191" i="8" s="1"/>
  <c r="B183" i="8"/>
  <c r="B189" i="8" s="1"/>
  <c r="D189" i="8" s="1"/>
  <c r="B184" i="8"/>
  <c r="B190" i="8" s="1"/>
  <c r="D190" i="8" s="1"/>
  <c r="B187" i="8"/>
  <c r="B193" i="8" s="1"/>
  <c r="D193" i="8" s="1"/>
  <c r="D182" i="8"/>
  <c r="D186" i="8"/>
  <c r="B26" i="8"/>
  <c r="D20" i="8"/>
  <c r="B81" i="8"/>
  <c r="B36" i="8"/>
  <c r="B42" i="8" s="1"/>
  <c r="D30" i="8"/>
  <c r="D29" i="8"/>
  <c r="B35" i="8"/>
  <c r="B41" i="8" s="1"/>
  <c r="B33" i="8"/>
  <c r="B39" i="8" s="1"/>
  <c r="D27" i="8"/>
  <c r="B28" i="8"/>
  <c r="D22" i="8"/>
  <c r="D90" i="8" l="1"/>
  <c r="B96" i="8"/>
  <c r="D96" i="8" s="1"/>
  <c r="J3" i="1"/>
  <c r="D86" i="8"/>
  <c r="B92" i="8"/>
  <c r="D92" i="8" s="1"/>
  <c r="J22" i="1"/>
  <c r="K22" i="1" s="1"/>
  <c r="D89" i="8"/>
  <c r="B95" i="8"/>
  <c r="D95" i="8" s="1"/>
  <c r="J4" i="1"/>
  <c r="K4" i="1" s="1"/>
  <c r="D82" i="8"/>
  <c r="B88" i="8"/>
  <c r="D85" i="8"/>
  <c r="B91" i="8"/>
  <c r="D81" i="8"/>
  <c r="B87" i="8"/>
  <c r="D42" i="8"/>
  <c r="B48" i="8"/>
  <c r="D48" i="8" s="1"/>
  <c r="D39" i="8"/>
  <c r="B45" i="8"/>
  <c r="D45" i="8" s="1"/>
  <c r="D41" i="8"/>
  <c r="B47" i="8"/>
  <c r="D47" i="8" s="1"/>
  <c r="D37" i="8"/>
  <c r="B43" i="8"/>
  <c r="D184" i="8"/>
  <c r="D185" i="8"/>
  <c r="D187" i="8"/>
  <c r="D183" i="8"/>
  <c r="B32" i="8"/>
  <c r="D26" i="8"/>
  <c r="D35" i="8"/>
  <c r="B34" i="8"/>
  <c r="B40" i="8" s="1"/>
  <c r="D28" i="8"/>
  <c r="D36" i="8"/>
  <c r="D33" i="8"/>
  <c r="K3" i="1" l="1"/>
  <c r="C3" i="1" s="1"/>
  <c r="J5" i="1"/>
  <c r="K5" i="1" s="1"/>
  <c r="D87" i="8"/>
  <c r="B93" i="8"/>
  <c r="D93" i="8" s="1"/>
  <c r="D91" i="8"/>
  <c r="B97" i="8"/>
  <c r="D97" i="8" s="1"/>
  <c r="D88" i="8"/>
  <c r="B94" i="8"/>
  <c r="D94" i="8" s="1"/>
  <c r="J8" i="1"/>
  <c r="K8" i="1" s="1"/>
  <c r="J7" i="1"/>
  <c r="K7" i="1" s="1"/>
  <c r="J6" i="1"/>
  <c r="K6" i="1" s="1"/>
  <c r="D43" i="8"/>
  <c r="B49" i="8"/>
  <c r="D49" i="8" s="1"/>
  <c r="D40" i="8"/>
  <c r="B46" i="8"/>
  <c r="D46" i="8" s="1"/>
  <c r="D32" i="8"/>
  <c r="B38" i="8"/>
  <c r="D34" i="8"/>
  <c r="J23" i="1" l="1"/>
  <c r="K23" i="1" s="1"/>
  <c r="D38" i="8"/>
  <c r="B44" i="8"/>
  <c r="D44" i="8" s="1"/>
  <c r="C21" i="1"/>
  <c r="G20" i="3" s="1"/>
  <c r="C5" i="1"/>
  <c r="C14" i="1"/>
  <c r="G26" i="3" s="1"/>
  <c r="C17" i="1"/>
  <c r="G14" i="3" s="1"/>
  <c r="C13" i="1"/>
  <c r="G24" i="3" s="1"/>
  <c r="C19" i="1"/>
  <c r="G8" i="3" s="1"/>
  <c r="C18" i="1"/>
  <c r="G23" i="3" s="1"/>
  <c r="C4" i="1"/>
  <c r="C8" i="1"/>
  <c r="C22" i="1"/>
  <c r="G21" i="3" s="1"/>
  <c r="C20" i="1"/>
  <c r="G16" i="3" s="1"/>
  <c r="C15" i="1"/>
  <c r="G5" i="3" s="1"/>
  <c r="C6" i="1"/>
  <c r="C7" i="1"/>
  <c r="G15" i="3" s="1"/>
  <c r="N23" i="3" l="1"/>
  <c r="L25" i="3"/>
  <c r="Q25" i="3" s="1"/>
  <c r="N19" i="3"/>
  <c r="N26" i="3"/>
  <c r="N20" i="3"/>
  <c r="N10" i="3"/>
  <c r="N24" i="3"/>
  <c r="N9" i="3"/>
  <c r="N27" i="3"/>
  <c r="R27" i="3" s="1"/>
  <c r="N18" i="3"/>
  <c r="N4" i="3"/>
  <c r="R4" i="3" s="1"/>
  <c r="L8" i="3"/>
  <c r="N8" i="3"/>
  <c r="N16" i="3"/>
  <c r="N11" i="3"/>
  <c r="N6" i="3"/>
  <c r="R6" i="3" s="1"/>
  <c r="L22" i="3"/>
  <c r="Q22" i="3" s="1"/>
  <c r="N15" i="3"/>
  <c r="N14" i="3"/>
  <c r="N13" i="3"/>
  <c r="N17" i="3"/>
  <c r="R17" i="3" s="1"/>
  <c r="N12" i="3"/>
  <c r="R12" i="3" s="1"/>
  <c r="N25" i="3"/>
  <c r="R25" i="3" s="1"/>
  <c r="N21" i="3"/>
  <c r="N7" i="3"/>
  <c r="R7" i="3" s="1"/>
  <c r="N5" i="3"/>
  <c r="N22" i="3"/>
  <c r="R22" i="3" s="1"/>
  <c r="H3" i="21"/>
  <c r="H7" i="21"/>
  <c r="I7" i="21" s="1"/>
  <c r="C7" i="21" s="1"/>
  <c r="L13" i="3"/>
  <c r="H27" i="21"/>
  <c r="L5" i="3"/>
  <c r="L16" i="3"/>
  <c r="L14" i="3"/>
  <c r="L26" i="3"/>
  <c r="H24" i="21"/>
  <c r="I24" i="21" s="1"/>
  <c r="C24" i="21" s="1"/>
  <c r="K27" i="3" s="1"/>
  <c r="H26" i="21"/>
  <c r="I26" i="21" s="1"/>
  <c r="H16" i="21"/>
  <c r="I16" i="21" s="1"/>
  <c r="H19" i="21"/>
  <c r="I19" i="21" s="1"/>
  <c r="H9" i="21"/>
  <c r="I9" i="21" s="1"/>
  <c r="L20" i="3"/>
  <c r="H7" i="3"/>
  <c r="O7" i="3" s="1"/>
  <c r="L15" i="3"/>
  <c r="L10" i="3"/>
  <c r="H6" i="21"/>
  <c r="I6" i="21" s="1"/>
  <c r="H10" i="21"/>
  <c r="I10" i="21" s="1"/>
  <c r="C10" i="21" s="1"/>
  <c r="J13" i="3"/>
  <c r="H12" i="21"/>
  <c r="I12" i="21" s="1"/>
  <c r="C12" i="21" s="1"/>
  <c r="K3" i="3" s="1"/>
  <c r="H4" i="21"/>
  <c r="I4" i="21" s="1"/>
  <c r="H13" i="21"/>
  <c r="I13" i="21" s="1"/>
  <c r="L19" i="3"/>
  <c r="L23" i="3"/>
  <c r="H11" i="21"/>
  <c r="I11" i="21" s="1"/>
  <c r="L18" i="3"/>
  <c r="H23" i="21"/>
  <c r="I23" i="21" s="1"/>
  <c r="C23" i="21" s="1"/>
  <c r="K24" i="3" s="1"/>
  <c r="H18" i="21"/>
  <c r="I18" i="21" s="1"/>
  <c r="H15" i="21"/>
  <c r="I15" i="21" s="1"/>
  <c r="L21" i="3"/>
  <c r="H22" i="21"/>
  <c r="I22" i="21" s="1"/>
  <c r="C22" i="21" s="1"/>
  <c r="K23" i="3" s="1"/>
  <c r="H14" i="21"/>
  <c r="I14" i="21" s="1"/>
  <c r="H8" i="21"/>
  <c r="I8" i="21" s="1"/>
  <c r="L9" i="3"/>
  <c r="H25" i="21"/>
  <c r="I25" i="21" s="1"/>
  <c r="L27" i="3"/>
  <c r="H5" i="21"/>
  <c r="I5" i="21" s="1"/>
  <c r="H20" i="21"/>
  <c r="I20" i="21" s="1"/>
  <c r="C20" i="21" s="1"/>
  <c r="K20" i="3" s="1"/>
  <c r="Q20" i="3" s="1"/>
  <c r="J7" i="3"/>
  <c r="P7" i="3" s="1"/>
  <c r="H17" i="21"/>
  <c r="I17" i="21" s="1"/>
  <c r="H21" i="21"/>
  <c r="I21" i="21" s="1"/>
  <c r="C21" i="21" s="1"/>
  <c r="K21" i="3" s="1"/>
  <c r="Q21" i="3" s="1"/>
  <c r="J17" i="3"/>
  <c r="P17" i="3" s="1"/>
  <c r="C5" i="22"/>
  <c r="J26" i="3"/>
  <c r="L12" i="3"/>
  <c r="Q12" i="3" s="1"/>
  <c r="H7" i="20"/>
  <c r="I7" i="20" s="1"/>
  <c r="H6" i="20"/>
  <c r="I6" i="20" s="1"/>
  <c r="H11" i="20"/>
  <c r="J21" i="3"/>
  <c r="L3" i="3"/>
  <c r="C23" i="22"/>
  <c r="M13" i="3" s="1"/>
  <c r="R13" i="3" s="1"/>
  <c r="C16" i="22"/>
  <c r="M5" i="3" s="1"/>
  <c r="R5" i="3" s="1"/>
  <c r="C19" i="22"/>
  <c r="M8" i="3" s="1"/>
  <c r="H27" i="20"/>
  <c r="J19" i="3"/>
  <c r="J5" i="3"/>
  <c r="H15" i="20"/>
  <c r="I15" i="20" s="1"/>
  <c r="H19" i="20"/>
  <c r="I19" i="20" s="1"/>
  <c r="L4" i="3"/>
  <c r="Q4" i="3" s="1"/>
  <c r="C8" i="22"/>
  <c r="C14" i="22"/>
  <c r="M26" i="3" s="1"/>
  <c r="J4" i="3"/>
  <c r="P4" i="3" s="1"/>
  <c r="J9" i="3"/>
  <c r="H23" i="20"/>
  <c r="I23" i="20" s="1"/>
  <c r="J12" i="3"/>
  <c r="H10" i="20"/>
  <c r="I10" i="20" s="1"/>
  <c r="H16" i="20"/>
  <c r="C18" i="22"/>
  <c r="M23" i="3" s="1"/>
  <c r="R23" i="3" s="1"/>
  <c r="H25" i="20"/>
  <c r="H3" i="20"/>
  <c r="H13" i="20"/>
  <c r="J25" i="3"/>
  <c r="P25" i="3" s="1"/>
  <c r="H5" i="20"/>
  <c r="H14" i="20"/>
  <c r="J22" i="3"/>
  <c r="P22" i="3" s="1"/>
  <c r="H9" i="20"/>
  <c r="J8" i="3"/>
  <c r="H17" i="20"/>
  <c r="J18" i="3"/>
  <c r="H3" i="3"/>
  <c r="L7" i="3"/>
  <c r="Q7" i="3" s="1"/>
  <c r="C7" i="22"/>
  <c r="M15" i="3" s="1"/>
  <c r="R15" i="3" s="1"/>
  <c r="C17" i="22"/>
  <c r="M9" i="3" s="1"/>
  <c r="J20" i="3"/>
  <c r="H12" i="20"/>
  <c r="I12" i="20" s="1"/>
  <c r="H21" i="20"/>
  <c r="I21" i="20" s="1"/>
  <c r="J10" i="3"/>
  <c r="J3" i="3"/>
  <c r="L6" i="3"/>
  <c r="Q6" i="3" s="1"/>
  <c r="C25" i="22"/>
  <c r="M19" i="3" s="1"/>
  <c r="R19" i="3" s="1"/>
  <c r="N3" i="3"/>
  <c r="R3" i="3" s="1"/>
  <c r="C4" i="22"/>
  <c r="J16" i="3"/>
  <c r="H18" i="20"/>
  <c r="H24" i="20"/>
  <c r="J14" i="3"/>
  <c r="J23" i="3"/>
  <c r="J15" i="3"/>
  <c r="L17" i="3"/>
  <c r="Q17" i="3" s="1"/>
  <c r="L11" i="3"/>
  <c r="C24" i="22"/>
  <c r="M18" i="3" s="1"/>
  <c r="R18" i="3" s="1"/>
  <c r="C11" i="22"/>
  <c r="M11" i="3" s="1"/>
  <c r="J27" i="3"/>
  <c r="H8" i="20"/>
  <c r="H4" i="20"/>
  <c r="H26" i="20"/>
  <c r="H20" i="20"/>
  <c r="I20" i="20" s="1"/>
  <c r="J6" i="3"/>
  <c r="P6" i="3" s="1"/>
  <c r="H22" i="20"/>
  <c r="I22" i="20" s="1"/>
  <c r="C27" i="22"/>
  <c r="M10" i="3" s="1"/>
  <c r="C15" i="22"/>
  <c r="M14" i="3" s="1"/>
  <c r="R14" i="3" s="1"/>
  <c r="C13" i="22"/>
  <c r="M24" i="3" s="1"/>
  <c r="C10" i="22"/>
  <c r="L24" i="3"/>
  <c r="J9" i="1"/>
  <c r="K9" i="1" s="1"/>
  <c r="C23" i="1"/>
  <c r="G19" i="3" s="1"/>
  <c r="J10" i="1"/>
  <c r="K10" i="1" s="1"/>
  <c r="C20" i="22"/>
  <c r="M16" i="3" s="1"/>
  <c r="H17" i="3"/>
  <c r="O17" i="3" s="1"/>
  <c r="J25" i="1"/>
  <c r="C6" i="22"/>
  <c r="C21" i="22"/>
  <c r="M20" i="3" s="1"/>
  <c r="J24" i="1"/>
  <c r="H16" i="3"/>
  <c r="O16" i="3" s="1"/>
  <c r="J26" i="1"/>
  <c r="H14" i="3"/>
  <c r="O14" i="3" s="1"/>
  <c r="H12" i="3"/>
  <c r="O12" i="3" s="1"/>
  <c r="H6" i="3"/>
  <c r="O6" i="3" s="1"/>
  <c r="H24" i="3"/>
  <c r="O24" i="3" s="1"/>
  <c r="H20" i="3"/>
  <c r="O20" i="3" s="1"/>
  <c r="H10" i="3"/>
  <c r="H27" i="3"/>
  <c r="H5" i="3"/>
  <c r="O5" i="3" s="1"/>
  <c r="H8" i="3"/>
  <c r="O8" i="3" s="1"/>
  <c r="H18" i="3"/>
  <c r="C12" i="1"/>
  <c r="H11" i="3"/>
  <c r="H4" i="3"/>
  <c r="O4" i="3" s="1"/>
  <c r="H21" i="3"/>
  <c r="O21" i="3" s="1"/>
  <c r="H25" i="3"/>
  <c r="O25" i="3" s="1"/>
  <c r="C22" i="22"/>
  <c r="M21" i="3" s="1"/>
  <c r="H15" i="3"/>
  <c r="O15" i="3" s="1"/>
  <c r="H9" i="3"/>
  <c r="H19" i="3"/>
  <c r="H22" i="3"/>
  <c r="O22" i="3" s="1"/>
  <c r="H13" i="3"/>
  <c r="H26" i="3"/>
  <c r="O26" i="3" s="1"/>
  <c r="H23" i="3"/>
  <c r="O23" i="3" s="1"/>
  <c r="C16" i="1"/>
  <c r="G9" i="3" s="1"/>
  <c r="J11" i="3"/>
  <c r="J24" i="3"/>
  <c r="R9" i="3" l="1"/>
  <c r="R8" i="3"/>
  <c r="R16" i="3"/>
  <c r="R10" i="3"/>
  <c r="O9" i="3"/>
  <c r="Q24" i="3"/>
  <c r="R20" i="3"/>
  <c r="R24" i="3"/>
  <c r="I3" i="21"/>
  <c r="C3" i="21" s="1"/>
  <c r="R11" i="3"/>
  <c r="I3" i="20"/>
  <c r="C3" i="20" s="1"/>
  <c r="O19" i="3"/>
  <c r="Q23" i="3"/>
  <c r="R21" i="3"/>
  <c r="Q27" i="3"/>
  <c r="R26" i="3"/>
  <c r="C23" i="20"/>
  <c r="I18" i="3" s="1"/>
  <c r="P18" i="3" s="1"/>
  <c r="C13" i="21"/>
  <c r="K5" i="3" s="1"/>
  <c r="Q5" i="3" s="1"/>
  <c r="C25" i="21"/>
  <c r="K14" i="3" s="1"/>
  <c r="Q14" i="3" s="1"/>
  <c r="C17" i="21"/>
  <c r="K11" i="3" s="1"/>
  <c r="Q11" i="3" s="1"/>
  <c r="C14" i="21"/>
  <c r="K8" i="3" s="1"/>
  <c r="Q8" i="3" s="1"/>
  <c r="C16" i="21"/>
  <c r="K10" i="3" s="1"/>
  <c r="Q10" i="3" s="1"/>
  <c r="C10" i="20"/>
  <c r="C6" i="21"/>
  <c r="C26" i="21"/>
  <c r="K16" i="3" s="1"/>
  <c r="Q16" i="3" s="1"/>
  <c r="C11" i="21"/>
  <c r="K13" i="3" s="1"/>
  <c r="Q13" i="3" s="1"/>
  <c r="C19" i="21"/>
  <c r="K19" i="3" s="1"/>
  <c r="Q19" i="3" s="1"/>
  <c r="C8" i="21"/>
  <c r="K15" i="3" s="1"/>
  <c r="Q15" i="3" s="1"/>
  <c r="C9" i="21"/>
  <c r="C15" i="21"/>
  <c r="K9" i="3" s="1"/>
  <c r="Q9" i="3" s="1"/>
  <c r="C18" i="21"/>
  <c r="K18" i="3" s="1"/>
  <c r="Q18" i="3" s="1"/>
  <c r="C4" i="21"/>
  <c r="C5" i="21"/>
  <c r="I27" i="21"/>
  <c r="C27" i="21" s="1"/>
  <c r="K26" i="3" s="1"/>
  <c r="Q26" i="3" s="1"/>
  <c r="C12" i="20"/>
  <c r="I8" i="3" s="1"/>
  <c r="P8" i="3" s="1"/>
  <c r="C6" i="20"/>
  <c r="C21" i="20"/>
  <c r="I14" i="3" s="1"/>
  <c r="P14" i="3" s="1"/>
  <c r="C7" i="20"/>
  <c r="I12" i="3" s="1"/>
  <c r="P12" i="3" s="1"/>
  <c r="Q3" i="3"/>
  <c r="C20" i="20"/>
  <c r="I10" i="3" s="1"/>
  <c r="P10" i="3" s="1"/>
  <c r="C22" i="20"/>
  <c r="I16" i="3" s="1"/>
  <c r="P16" i="3" s="1"/>
  <c r="C15" i="20"/>
  <c r="I13" i="3" s="1"/>
  <c r="P13" i="3" s="1"/>
  <c r="C19" i="20"/>
  <c r="I5" i="3" s="1"/>
  <c r="P5" i="3" s="1"/>
  <c r="I14" i="20"/>
  <c r="C14" i="20" s="1"/>
  <c r="I11" i="3" s="1"/>
  <c r="P11" i="3" s="1"/>
  <c r="I5" i="20"/>
  <c r="C5" i="20" s="1"/>
  <c r="I24" i="20"/>
  <c r="C24" i="20" s="1"/>
  <c r="I19" i="3" s="1"/>
  <c r="P19" i="3" s="1"/>
  <c r="I17" i="20"/>
  <c r="C17" i="20" s="1"/>
  <c r="I26" i="3" s="1"/>
  <c r="P26" i="3" s="1"/>
  <c r="I13" i="20"/>
  <c r="C13" i="20" s="1"/>
  <c r="I9" i="3" s="1"/>
  <c r="P9" i="3" s="1"/>
  <c r="I26" i="20"/>
  <c r="C26" i="20" s="1"/>
  <c r="I21" i="3" s="1"/>
  <c r="P21" i="3" s="1"/>
  <c r="I18" i="20"/>
  <c r="C18" i="20" s="1"/>
  <c r="I27" i="3" s="1"/>
  <c r="P27" i="3" s="1"/>
  <c r="I16" i="20"/>
  <c r="C16" i="20" s="1"/>
  <c r="I23" i="3" s="1"/>
  <c r="P23" i="3" s="1"/>
  <c r="I27" i="20"/>
  <c r="C27" i="20" s="1"/>
  <c r="I24" i="3" s="1"/>
  <c r="P24" i="3" s="1"/>
  <c r="I4" i="20"/>
  <c r="C4" i="20" s="1"/>
  <c r="I25" i="20"/>
  <c r="C25" i="20" s="1"/>
  <c r="I20" i="3" s="1"/>
  <c r="P20" i="3" s="1"/>
  <c r="I8" i="20"/>
  <c r="C8" i="20" s="1"/>
  <c r="I15" i="3" s="1"/>
  <c r="P15" i="3" s="1"/>
  <c r="I9" i="20"/>
  <c r="C9" i="20" s="1"/>
  <c r="I11" i="20"/>
  <c r="C11" i="20" s="1"/>
  <c r="G27" i="3"/>
  <c r="O27" i="3" s="1"/>
  <c r="C9" i="1"/>
  <c r="C10" i="1"/>
  <c r="K26" i="1"/>
  <c r="C26" i="1" s="1"/>
  <c r="G18" i="3" s="1"/>
  <c r="O18" i="3" s="1"/>
  <c r="K25" i="1"/>
  <c r="C25" i="1" s="1"/>
  <c r="G13" i="3" s="1"/>
  <c r="O13" i="3" s="1"/>
  <c r="K24" i="1"/>
  <c r="C24" i="1" s="1"/>
  <c r="G10" i="3" s="1"/>
  <c r="O10" i="3" s="1"/>
  <c r="G3" i="3"/>
  <c r="G11" i="3"/>
  <c r="O11" i="3" s="1"/>
  <c r="I3" i="3" l="1"/>
  <c r="P3" i="3" s="1"/>
  <c r="O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tc={8DABFBB4-6276-483A-8995-A800A8A763D5}</author>
  </authors>
  <commentList>
    <comment ref="S2" authorId="0" shapeId="0" xr:uid="{8DABFBB4-6276-483A-8995-A800A8A763D5}">
      <text>
        <t>[Comentario encadenado]
Su versión de Excel le permite leer este comentario encadenado; sin embargo, las ediciones que se apliquen se quitarán si el archivo se abre en una versión más reciente de Excel. Más información: https://go.microsoft.com/fwlink/?linkid=870924
Comentario:
    Tienen excusa para la asistencia a clase</t>
      </text>
    </comment>
  </commentList>
</comments>
</file>

<file path=xl/sharedStrings.xml><?xml version="1.0" encoding="utf-8"?>
<sst xmlns="http://schemas.openxmlformats.org/spreadsheetml/2006/main" count="1319" uniqueCount="314">
  <si>
    <t>Nombre</t>
  </si>
  <si>
    <t>Correo</t>
  </si>
  <si>
    <t>Pertinencia</t>
  </si>
  <si>
    <t>código</t>
  </si>
  <si>
    <t>Análisis</t>
  </si>
  <si>
    <t>Redacción</t>
  </si>
  <si>
    <t>Total</t>
  </si>
  <si>
    <t>Creatividad</t>
  </si>
  <si>
    <t>Retroalimentación</t>
  </si>
  <si>
    <t>Calificación</t>
  </si>
  <si>
    <t>Porcentaje</t>
  </si>
  <si>
    <t>id</t>
  </si>
  <si>
    <t>Rubrica</t>
  </si>
  <si>
    <t>Grupo</t>
  </si>
  <si>
    <t>seguimiento Marketing</t>
  </si>
  <si>
    <t>1. Identificación de necesidades</t>
  </si>
  <si>
    <t>grupo caso HR</t>
  </si>
  <si>
    <t>Seguimietno HR</t>
  </si>
  <si>
    <t>Grupo caso marketing</t>
  </si>
  <si>
    <t>Actividad</t>
  </si>
  <si>
    <t>Claridad</t>
  </si>
  <si>
    <t>Avance</t>
  </si>
  <si>
    <t>Comprensión</t>
  </si>
  <si>
    <t>Innovación</t>
  </si>
  <si>
    <t>Errores</t>
  </si>
  <si>
    <t>Total seguimiento con bonificación</t>
  </si>
  <si>
    <t>Total bonificaciones</t>
  </si>
  <si>
    <t>TRabajo HR</t>
  </si>
  <si>
    <t>Trabajo Marketing</t>
  </si>
  <si>
    <t>Trabajo HR</t>
  </si>
  <si>
    <t>Observaciones presentación</t>
  </si>
  <si>
    <t>Marketing</t>
  </si>
  <si>
    <t>Notas a subir</t>
  </si>
  <si>
    <t>HR</t>
  </si>
  <si>
    <t>grupo Salud</t>
  </si>
  <si>
    <t>3. Quiz artículo</t>
  </si>
  <si>
    <t>Grupo caso Finanzas</t>
  </si>
  <si>
    <t>Trabajo Salud</t>
  </si>
  <si>
    <t>Descripción problema</t>
  </si>
  <si>
    <t>Diseño de la solución</t>
  </si>
  <si>
    <t>seguimiento Salud</t>
  </si>
  <si>
    <t>Salud</t>
  </si>
  <si>
    <t>Finanzas</t>
  </si>
  <si>
    <t>seguimiento Finanzas</t>
  </si>
  <si>
    <t>Trabajo finanzas</t>
  </si>
  <si>
    <t>Presentación</t>
  </si>
  <si>
    <t>Metodología</t>
  </si>
  <si>
    <t>Análisis de resultados</t>
  </si>
  <si>
    <t>A8:</t>
  </si>
  <si>
    <t>4. Presentación de avances HR</t>
  </si>
  <si>
    <t>4. Presentación de avances mark</t>
  </si>
  <si>
    <t>Grupo 1</t>
  </si>
  <si>
    <t>Grupo 3</t>
  </si>
  <si>
    <t>Grupo 4</t>
  </si>
  <si>
    <t xml:space="preserve">2. Diseño de la solución </t>
  </si>
  <si>
    <t>ALVAREZ FERNANDEZ ALANIS</t>
  </si>
  <si>
    <t>alanis.alvarez@udea.edu.co</t>
  </si>
  <si>
    <t>ÁLVAREZ LÓPEZ ALEJANDRO</t>
  </si>
  <si>
    <t>alejandro.alvarezl@udea.edu.co</t>
  </si>
  <si>
    <t>AMAYA LEÓN ALEXÁNDER</t>
  </si>
  <si>
    <t>alexander.amaya@udea.edu.co</t>
  </si>
  <si>
    <t>ARABIA ÁLVAREZ PAOLA ANDREA</t>
  </si>
  <si>
    <t>paola.arabia@udea.edu.co</t>
  </si>
  <si>
    <t>ARROYAVE MURILLO JUAN DIEGO</t>
  </si>
  <si>
    <t>juan.arroyave14@udea.edu.co</t>
  </si>
  <si>
    <t>BETANCOURT FUENTES LAURA CAMILA</t>
  </si>
  <si>
    <t>laura.betancourt1@udea.edu.co</t>
  </si>
  <si>
    <t>BLANDÓN RAMÍREZ MANUELA</t>
  </si>
  <si>
    <t>manuela.blandon@udea.edu.co</t>
  </si>
  <si>
    <t>CAICEDO AGUIRRE MATEO</t>
  </si>
  <si>
    <t>mateo.caicedo@udea.edu.co</t>
  </si>
  <si>
    <t>CARDONA MOLINA JUAN ESTEBAN</t>
  </si>
  <si>
    <t>esteban.cardona6@udea.edu.co</t>
  </si>
  <si>
    <t>CONTRERAS TRILLOS OSIRIS</t>
  </si>
  <si>
    <t>osiris.contreras@udea.edu.co</t>
  </si>
  <si>
    <t>santiago.cordobac@udea.edu.co</t>
  </si>
  <si>
    <t>CUARTAS GIL SEBASTIAN</t>
  </si>
  <si>
    <t>sebastian.cuartas1@udea.edu.co</t>
  </si>
  <si>
    <t>DEL VALLE CORREA DAYANA SOFIA</t>
  </si>
  <si>
    <t>dayana.delvalle@udea.edu.co</t>
  </si>
  <si>
    <t>DUSSAN PUERTA ESTEFANIA</t>
  </si>
  <si>
    <t>estefania.dussan@udea.edu.co</t>
  </si>
  <si>
    <t>GIL PACHECO GILBERTO JOSÉ</t>
  </si>
  <si>
    <t>gilberto.gil1@udea.edu.co</t>
  </si>
  <si>
    <t>GUERRERO LOBO LEIDYS</t>
  </si>
  <si>
    <t>leidys.guerrero@udea.edu.co</t>
  </si>
  <si>
    <t>GUZMAN ZORRILLA NATALIA XIMENA</t>
  </si>
  <si>
    <t>natalia.guzmanz@udea.edu.co</t>
  </si>
  <si>
    <t>MARIN ZULUAGA SIMON</t>
  </si>
  <si>
    <t>simon.marinz@udea.edu.co</t>
  </si>
  <si>
    <t>MOLINA AMAYA AURA MARÍA</t>
  </si>
  <si>
    <t>aura.molina@udea.edu.co</t>
  </si>
  <si>
    <t>MOLINA OCAMPO JUAN JOSE</t>
  </si>
  <si>
    <t>juanj.molina1@udea.edu.co</t>
  </si>
  <si>
    <t>OSORIO LÓPEZ JUAN FELIPE</t>
  </si>
  <si>
    <t>jfelipe.osorio@udea.edu.co</t>
  </si>
  <si>
    <t>PEREZ CASTILLA KAREN MARCELA</t>
  </si>
  <si>
    <t>karen.perezc@udea.edu.co</t>
  </si>
  <si>
    <t>RESTREPO OLARTE SANTIAGO</t>
  </si>
  <si>
    <t>santiago.restrepo23@udea.edu.co</t>
  </si>
  <si>
    <t>SÁNCHEZ ÁLVAREZ SEBASTIÁN</t>
  </si>
  <si>
    <t>sebastian.sanchez9@udea.edu.co</t>
  </si>
  <si>
    <t>SOTO TABORDA JUAN ESTEBAN</t>
  </si>
  <si>
    <t>esteban.soto1@udea.edu.co</t>
  </si>
  <si>
    <t>TORO VILLEGAS JUAN JOSE</t>
  </si>
  <si>
    <t>juanj.toro@udea.edu.co</t>
  </si>
  <si>
    <t>miguel.vargas1@udea.edu.co</t>
  </si>
  <si>
    <t>gmaritza.zapata@udea.edu.co</t>
  </si>
  <si>
    <t>Asistencia</t>
  </si>
  <si>
    <t>Sí</t>
  </si>
  <si>
    <t>A1: Artículo HR</t>
  </si>
  <si>
    <t>Bien la clasificación del modelo y uso de sql</t>
  </si>
  <si>
    <t>Muy buena presentación, faltó explicar mejor la parte de selección de variables, estaba bien el código pero no fue clara la presentación. Fltó utilizar mejor el tiempo para presentar más detallados los temas que se necesitaban presentar</t>
  </si>
  <si>
    <t>No era necesario presentar la exploración</t>
  </si>
  <si>
    <t>El diseño de la solución está bien planteado, pero se pueden dejar como un solo paso todo lo relacionado con entrenamiento, selección de variables, entrnado de modelos y predicción, eso puede ser uno solo y el resto de pasos sí son propios del diseño.</t>
  </si>
  <si>
    <t>Faltó presentación de variables seleccionadas por tiempo</t>
  </si>
  <si>
    <t>No es necesario paso a paso de design thinking, enfocarse en el diseño que está bien propuesto con la clasificación en categorías, hacer énfasis en esa parte, eso ya incluye diseño de negocio y técnico.</t>
  </si>
  <si>
    <t>Faltó coordinar mejor la presnetación, muy largo la presentación de diseño y muy corto en otros temas por falta de tiempo</t>
  </si>
  <si>
    <t xml:space="preserve">Falta amplia mucho más el diseño de la solución, el diagrama de flujo no es necesario para el paso a paso y ocupa mucho espacio. Bien las métricas de negocio para medir es parte del diseño, </t>
  </si>
  <si>
    <t>Cuidado con la eliminación de variables como género y performance rate, ante la duda si eliminarla manualmente o no, mejor no se elimina y que en la importancia de las variables se elimine en caso de que no pese.</t>
  </si>
  <si>
    <t>No era necesario exploratorio, faltó explicar mejor la selección de variables.</t>
  </si>
  <si>
    <t>Métricas de negocio para medir impacto y tablero de power point</t>
  </si>
  <si>
    <t>Faltó presentar mejor en algunas partes y organizar mejor lo que iban a presentar y explicar la propuiesta de tablero y modelo para verificar</t>
  </si>
  <si>
    <t>Importante hacer el cruce de datos para que ya te quede estructura lista para modelo con recomendaciones que te di</t>
  </si>
  <si>
    <t>Implementación de la solución es diseño de la solución, decir cuántos empleados puedo trabajarr en cada categoría o presupuesto</t>
  </si>
  <si>
    <t>Muy buenas ideas en diseño</t>
  </si>
  <si>
    <t>cuidado con tratamiento de resignación con promedios y cruce de datos</t>
  </si>
  <si>
    <t>Muy buena presentación, muy bien preparada, faltó mejorar los saltos entre código y presentación ser más claro explicando código</t>
  </si>
  <si>
    <t>Faltó modelos</t>
  </si>
  <si>
    <t>Se puede utilizar más el diseño de la solución para usar creativamente los resultados del modelo, archivo de sql aparte por buena práctica</t>
  </si>
  <si>
    <t>Todaía no habían entrenado modelos y ya deberían tnerse para comparar algoritmos</t>
  </si>
  <si>
    <t>Había varios errores como las fechas de train y test, justificar regresión logística por multiclase cuando no es su problema, usar variables retirment type para predecor</t>
  </si>
  <si>
    <t>Muy rapido la parte del código, hay que excoger qué se va a presentar y detenerse a explicar bien en esos puentos, falta mejorar la claridad en la exposicón</t>
  </si>
  <si>
    <t>Se enredó explicando, no mostraron el cruce, muy ráaido por el código, preparar mejor qué temas presentar y explicarlos mejor</t>
  </si>
  <si>
    <t>Muy bien planteado el diseño pero hay que organizarlo</t>
  </si>
  <si>
    <t>Errores al no eliminar 2015, en diseño de la solución pusieron variables imporantes dos veces, falta organizar el diseño</t>
  </si>
  <si>
    <t>Muy bien la descripción del probelma</t>
  </si>
  <si>
    <t>Llegaron tarde después de tiempo hay que organizarse bien para la próxima presentación que es avisada con anticipación. Faltó mucha claridad en la presentación, por ejemplo mostraron unas matriz de confusión sin explicar bien de qué eran de qué tipo de modelo y contaron y mostraron código muy rápido sin mostrar que se estaba haciendo</t>
  </si>
  <si>
    <t>En los avances debería estar selección de variables y comparación de modelos y no estaba, lo que se presentó fue análisis de modelo que es un punto posterior, tener en cuenta los temas de la guía que se deben presentar</t>
  </si>
  <si>
    <t>Hay que proponer cosas creativas en diseño de la solución</t>
  </si>
  <si>
    <t>Falta detalles técnicos en diseño de la solución, explicar el problema que están resolviendo</t>
  </si>
  <si>
    <t>El uso de las gráficos no es el más apropiado</t>
  </si>
  <si>
    <t>Total seguimiento</t>
  </si>
  <si>
    <t>Correos</t>
  </si>
  <si>
    <t>Nombres</t>
  </si>
  <si>
    <t>Fecha anveces HR</t>
  </si>
  <si>
    <t>Fecha anveces marketing</t>
  </si>
  <si>
    <t>Alanis Álvarez</t>
  </si>
  <si>
    <t>Juan Esteban Soto</t>
  </si>
  <si>
    <t>Santiago Restrepo</t>
  </si>
  <si>
    <t>Juan Esteban Cardona</t>
  </si>
  <si>
    <t>Manuela.blandon@udea.edu.co</t>
  </si>
  <si>
    <t>Manuela Blandón</t>
  </si>
  <si>
    <t>Karen.perezc@udea.edu.co</t>
  </si>
  <si>
    <t>Karen Pérez Castilla</t>
  </si>
  <si>
    <t>Dayana.delvalle@udea.edu.co</t>
  </si>
  <si>
    <t>Dayana Sofia del Valle</t>
  </si>
  <si>
    <t>Alexander.amaya@udea.edu.co</t>
  </si>
  <si>
    <t>Alexander Amaya</t>
  </si>
  <si>
    <t>Laura Betancourt</t>
  </si>
  <si>
    <t>Aura Molina</t>
  </si>
  <si>
    <t>Gilberto Gil</t>
  </si>
  <si>
    <t>Osiris Contreras Trillos</t>
  </si>
  <si>
    <t>Maritza Zapata Gonzalez</t>
  </si>
  <si>
    <t>canceló</t>
  </si>
  <si>
    <t>Juan José Molina Ocampo</t>
  </si>
  <si>
    <t>Juan Felipe Osorio Lopez</t>
  </si>
  <si>
    <t>Juan.arroyave14@udea.edu.co</t>
  </si>
  <si>
    <t>Juan Diego Arroyave Murillo</t>
  </si>
  <si>
    <t>Sebastian.sanchez9@udea.edu.co</t>
  </si>
  <si>
    <t>Sebastian Sánchez Álvarez</t>
  </si>
  <si>
    <t>Estefanía Dussan Puerta</t>
  </si>
  <si>
    <t>Alejandro Álvarez López</t>
  </si>
  <si>
    <t>Simón Marín zuluaga</t>
  </si>
  <si>
    <t>Miguel Ángel Vargas otalvaro</t>
  </si>
  <si>
    <t>Santiago Córdoba Castañeda</t>
  </si>
  <si>
    <t>Natalia Guzman</t>
  </si>
  <si>
    <t>Sebastian Cuartas</t>
  </si>
  <si>
    <t>Juan José Toro Villegas</t>
  </si>
  <si>
    <t>Mateo Caicedo Aguirre</t>
  </si>
  <si>
    <t>Paola Arabia Alvarez</t>
  </si>
  <si>
    <t>Leidys Guerrero Lobo</t>
  </si>
  <si>
    <t>4. Análisis de código</t>
  </si>
  <si>
    <t>1. solucioes analíticas famosas</t>
  </si>
  <si>
    <t>Excelente trabajo, muy organizado. La unica recomendación es que la optimización de hiperparámetro en el informe la pusieron antes de la selecición de modelo, la recomendación es que seleccionen el modelo y al seleccionado le afinen hiperparámetros</t>
  </si>
  <si>
    <t>Muy buen trabajo, muy buenas las propuestas de analizar por tipo de cargo para plantear las estrategias y muy organizado el código</t>
  </si>
  <si>
    <t>En el diseño de la solución no es necesario poner, exploración y procesamiento, selección de variables entrenamiento, se puede poner una sola caja para hacer enfásis en el procesos de negocio no la construcción del modelo. El resto están bien</t>
  </si>
  <si>
    <t>Faltó explicar por qué escogieron F1 score, muy buen análisis de falsos postiivos y falsos negativos, muy buen analísis de las variables importantes y propuestas.</t>
  </si>
  <si>
    <t>Muy buena idea en el diseño de dividir en niveles de criticidad pero no lo hicieron en el despliegue, solo quedo en el diseño</t>
  </si>
  <si>
    <t xml:space="preserve">Selección de algoritmos está repetido en 6 y 7, el pantallazo al lado de la matriz de confusión no se ve bien, se debió pasar a  una taba. </t>
  </si>
  <si>
    <t>Faltó elliminar el pycache con el gitignore el main.swp y poner datadiictionary en carpéta de datos para que quede más organziado</t>
  </si>
  <si>
    <t>Faltó más desarrollar las propuestas como la clasificación de empleados para validar la creatividad de la propuesta. Muy bien la propuesta de kmeans para explorar</t>
  </si>
  <si>
    <t xml:space="preserve">No es necesario poner selección de variables, limpieza y transformación y tareas para entrenar un modelo, se pone entrenar modelo y eso incluye todas las tareas, de esta manera el énfasis está en el proceso de negocio no en los pasos para construir el modelo. En el diseño de la solución gráfico, se pone clasificar empleados pero no se describe cómo, en las descripciones solo hablan de encontrar variables importantes. </t>
  </si>
  <si>
    <t>No pegar códigos, el informe es para análisis, está muy descriptivo de lo que se hizo y eso le reduce espacio a análisis, que sí tienen, pero reducido en algunas secciones como preprocesamiento o análisis exploratorio, buen análisis de metricas del modelo y propuestas</t>
  </si>
  <si>
    <t>Tienen en el archivo de funciones, unas que no se usan, se debieron borrar. Hay g´raficas interesantes que pudieron usar en el informe, con el espacio que se aprovechaba de eliminar algunas descripciones.</t>
  </si>
  <si>
    <t>Muy buena la división pro grupos de criticidad, sin embargo, las estrategias en el diseño desconocen los resultados que se van a tener posteriormente, es muy difícil proponer una estrategia desde el diseño si todavía no hay datos que lo proponga, mejor planterarla completamente después de análisis.</t>
  </si>
  <si>
    <t>No se uso bien el espacio, uan introducción muy largo, poner la lista de las tablas no era necesario y hay mucho texto explicando demasiado lo que se hace, esto se puede hacer pero en espacio más reducido para dedicar el resto al análisis, las matrices de confusión si se analizaron bien comparando los modelos, este tipo de análisis es el que debe buscar más espacio</t>
  </si>
  <si>
    <t xml:space="preserve">Decir que 2016 se utiliza para validación es incorrecto, por que para usar datos como validación se necesitarían los retiros de 2017 que no se tienen, 2016 se utiliza para hacer predicción no validación. </t>
  </si>
  <si>
    <t>Falto explorar los grupos propuestas con las predicciones en los datos de entrenamiento</t>
  </si>
  <si>
    <t>Faltó organizar un poco las carpetas, por ejemplo solo se necesitaba una base de datos, no dos, y estas podían ir en la carpeta de data para que no se revolvieran con los códigos</t>
  </si>
  <si>
    <t>El proyecto no está bien organizado, todos los archivos están en la raiz y es muy dificil dfiferenciar los códigos de salidas y datos, crean una carpeta de salidas pero muchas salidas quedaron en la raiz, hay muchas bases de datos y no es práctivo uno debería tener una y dentro todas las tablas. Los archivos no se ven enumerados. En el archivo de despliegue tienen muchos errores</t>
  </si>
  <si>
    <t>no se habló del despliegue ni se analizó los grupos de criticidad que se mencionaron en el diseño. Las estyrategias finales se ven muy genéricas y no basadas en los hallazgos</t>
  </si>
  <si>
    <t>Faltó mucho análisis, les sobro espacio. El exploratorio fue muy amplio y no lo tradujeron en conclusiones, mostraron gráficos que no agregaban mucho valor</t>
  </si>
  <si>
    <t>Buena la idea y el diseño pero no lo reflejaron en el resto del trabajo</t>
  </si>
  <si>
    <t>El diseño está bien pero tiene muchos pasos de la construcción de modelo se puede poner un solo paso de entrenamiento y el resto del proceso de negocio que es lo importante. Faltó proponer ideas innovadores para resolver el problema</t>
  </si>
  <si>
    <t>Se gastaron una página escribiendo la información que había en la guía en lugar de aprovechar para hacer análisis y conclusiones de esa información. El documento le falta mejor organización y presentación como la tabla del diseño de la solución. No era necesario escribir las tablas ni describirlas esto no agrega valor</t>
  </si>
  <si>
    <t>Muy buenas conclusiones de análisis exploratorio. Los resultados descritos de la matriz de confusión no con la gráfica, la gráfica aparecen en 0 unos valores que no se reportan, no se mencionó si la matriz es de evaluación o entrenamiento y no se calcualron indicadores como accuracy F1 score entre otros, en los resultados del modelo no se dijo cuál es el indicador que dio 1 y esto es Sospechoso, deberían revisar qué pudo pasar. Buen repoerte de variables importantes pero los valores no son interpretables, mejor poner el orden o volverlo porcentaje. No se reportó nada de despliegue ni de predicciónes 2017 que era el objetivo principal</t>
  </si>
  <si>
    <t>Muy bien proponer una meta, y tiene buen enfoque el trabajo pero elaborar más las estrategias</t>
  </si>
  <si>
    <t>El código no está bien organizado, unos archivos están enumeradoscon letras y otros no, no hay carpetas para separar datos o salidas. La forma de crear las tablas no es la más eficiente, se pueden llevar directamente de pandas a sql y así se crean sin definir cada campo, tienen un archivo de funciones que no se carga en ningun otro, de hecho está en un notebook que no deja cargar, este archivo no sirve para nnada, si las funciones se van a poner dentro del código mejor borrarlo. El archivo de limpieza y exploración no se deja visualizar, pusieron análisis en el código que debería estar en el informe. Tienen errores en el archivo de modelo imprimiendo un gráfico. Tienen paquetes instalados por todo el código y falta mucho orden, tienen funciones que no usan como medir_modelos</t>
  </si>
  <si>
    <t>Errores en la última función</t>
  </si>
  <si>
    <t>Faltó terminar el sistema de recomendación basado en contenido</t>
  </si>
  <si>
    <t>En algunos momentos explicaron muy rápido en otros falto coordinación para ir a lo que querían mostrar y explicarlo bien</t>
  </si>
  <si>
    <t>Aunque está bien pegar los códigos, hay que pegarlos bien y mostrar completo la parte de los modelos en algunos sistemas no se vio ni se explicó bien, mejorar la calidad de la presentación debido a las máyusculas y los pantallazos pegados</t>
  </si>
  <si>
    <t>Mejorar presentación de sistemas de recomendación y concentrarse en explicarlos bien</t>
  </si>
  <si>
    <t>tratar de proponer cambios con respecto a lo visto en clase</t>
  </si>
  <si>
    <t>El modelo de sistemas de recomendación no se mostró bien y no supe  si estaba bien planteado</t>
  </si>
  <si>
    <t>Se enredaron un poco exponiendo en algunas partes, en algunas partes muy acelerados, sobre todo cuando estaban presentando el código.</t>
  </si>
  <si>
    <t>Mejorar el diseño de la solución con detalles de los tiempos de enternamiento y de actualización de predicciones</t>
  </si>
  <si>
    <t>Agregar detalles al diseño de la solución, pensar que cada sistema es independiente y requiere definiciones independientes, agregar que tipo de recomendaciones van a ser y ampliar hiperparámetros</t>
  </si>
  <si>
    <t>Falta hacer modificaciones a los sistemas vistos en clase, agregarle condiciones o cosas nuevas o incluir propuestas innovadoras desde el diseño de la solución</t>
  </si>
  <si>
    <t>Les salió un error que después corrigieron pero es importante tenerlo preparado para evitarlo en la presentación.</t>
  </si>
  <si>
    <t>Muy buena presentación bien problema analítico y de negocio, y bien explicado el modelo basado en contenido. Faltó preparar mejor la presentación de resultados de basado en contenido para que se pudiera visualizar y aprovechar más el tiempo para explicar más los algoritmos y códigos, principalmente el de filtro colaborativo que tenía más cosas para el entrenamiento</t>
  </si>
  <si>
    <t>3. Ejercicio con sistemas de recomendación</t>
  </si>
  <si>
    <t>2.Sql</t>
  </si>
  <si>
    <t>Faltó hacer variaciones y propuestas innovadores en sistemas de popularidad por ejemplo</t>
  </si>
  <si>
    <t>El informe está muy descriptivo, faltó más análisis por ejemplo en las métricas de los filtros colaborativos, en el despliegue también pudo ser más detallado</t>
  </si>
  <si>
    <t>Es importante borar carpetas como _pycache_, .vs  que son de configuración</t>
  </si>
  <si>
    <t>Tener cuidado con la redacción, pro ejemplo, "descendientemente", o  esto: "se tiene como filtro que las películas hallan vistas por más" . La presentación del informe pudo ser mejor.  Utilizando gráficos para el diseño de la solución u otros gráfcios para mostrar algunos resultados.</t>
  </si>
  <si>
    <t>Muy buen diseño y propuestas innovadoras como el ensamble y sitema de retroalimentación</t>
  </si>
  <si>
    <t>Faltó análisis, pro ejemplo resultados de modelos, inidicadores para filtros colaborativos hablar del afinamiento, mostrar unos resultados como ejemplo, solo se explicó lo que se hizo pero no se analizaron sus resultados</t>
  </si>
  <si>
    <t>Faltaron presentar resultados y análisis y no que fuera solo descriptivo de lo que se hizo</t>
  </si>
  <si>
    <t>Faltó proponer cosas diferentes a lo que vimos</t>
  </si>
  <si>
    <t>faltó más análisis el documento está muy descriptivo de lo que se hizo, se analizó un poco en filtros colaborativas pero solo comparando metricas de modelos no analziando si el desempeño era bueno de acuerdo a los valores de calificaciones, en los otros sistemas mirar si las películas en algunos ejemplos si tenían sentido, si las metricas de cercanía no estaban discriminando mucho entre otros</t>
  </si>
  <si>
    <t>Dejaron documentos repetidos como funciones que quedó en hupyter y en .py lo cual no vale la pena, en este archivo no hacen nada solo se conectan a la base de datos: preprocesamiento.py, no se ve un orden en los archivos, y tienen datos archivos de código y salidas en la raíz todo revuelto</t>
  </si>
  <si>
    <t>Faltaron los sitemas más robustos</t>
  </si>
  <si>
    <t>muy buena la propuesta de utilizar sistemas diferenciados según el cliente, buena la propuesta de visualización de sistemas de recomendación porque es diferente, sin embargo faltó incluir los sistemas de recomendación más robustos y más importantes</t>
  </si>
  <si>
    <t>Muy buen análisis exploratorio, pero fue muy largo quitando espacio para los otros temas. Faltó implementar los otros sistemas de recomendación, sobre todo el de filtro colaborativo que era el más robusto y el más importante, además el que permitía más análisis en cuanto al desempeñ, el de popularidad era solo un ranking, tampoco hicieron ni mencionaron nada del despliegue</t>
  </si>
  <si>
    <t>En el código no está del sistema basado en un solo producto que mencioann en el informe, solo el de popularidad que era el más sencillo, está el código más desordenado, todo revuelto, los archivos no están organizados, el sql está dentro del archivo de python, le falta mucho.</t>
  </si>
  <si>
    <t>El formato de doble columna no quedó bien da saltos y no se entiende bien.</t>
  </si>
  <si>
    <t>Faltó proponer en el diseño estrategias diferentes y utilizar códigos o estrategias diferentes a las vistas en clase.</t>
  </si>
  <si>
    <t>Presentaron muy rápido el código, faltó orden en la presentación, hay que prepararla mejor. No encontraron lo que iban a mostrar entonces se ve desordenado.</t>
  </si>
  <si>
    <t>Muy bien crear función para definir resolución</t>
  </si>
  <si>
    <t>Faltó fluidez en algunos pujntos de la presentación y mejoirar el cierre.</t>
  </si>
  <si>
    <t>Bien la función pandas profile report</t>
  </si>
  <si>
    <t>Bien los procesamientos sacadas de metadatos</t>
  </si>
  <si>
    <t>Falta bastante de los modelos, no han hecho afinamiento.</t>
  </si>
  <si>
    <t>Falta afinamiento de hiperparámetros</t>
  </si>
  <si>
    <t>No fue fluida la presnetación hay que prepararla mejor, hay que coordinar mejor los cambios de pantalla por ejemplo, se extendieron mucho, explicaron muchos detalles del análisis exploratorio y había que hacer énfasis en modelos. Cuidado que los análisis deben ir en el informe, faltó claridad explicando algunos resultados, mucho texto en el código.</t>
  </si>
  <si>
    <t>Faltó presentar afinamiento por tiempo.</t>
  </si>
  <si>
    <t xml:space="preserve">No usan probabilidades si no solo la clasificación. Si al final revisa el médico, ¿cuál es el aporte del modelo en oportunidad?. Muy bien diseño definiendo métrica, bien pensado el diseño y lo que pasa después de los resultados. </t>
  </si>
  <si>
    <t>Sobre ajuste se da solo cuándo en evaluación y entrenamient hay una brecha muy grande, si los dos son buenos no hay sobre ajuste. ¿Si escogieron Recall porqué comparan con AUC?</t>
  </si>
  <si>
    <t>Considerar que la clasificación sea completamente automática en caso de ser una probabilidad muy alta, para que el proceso propuesto sea más rápido. ¿por qué hay imágenes en blanco y otras en negro? Eso puede afectar el modelo.</t>
  </si>
  <si>
    <t>No presentaron claramente el problema cómo funciona actualmente, para saber cómo mejorar. No está claro el diseño, deben detallar qué va a pasar con las clasificación y probabilidades. Mostrar de manera resumida resultados de métricas de los modelos utilizados para saber cuál ganó. Las matrices de confusión se deberían analizan detalladamente para el ganador no para todos porque se vuelve muy largo. Mostraron desempeño por grupo pero no lo definieron en diseño.</t>
  </si>
  <si>
    <t>Faltan convolucionales y afinamiento</t>
  </si>
  <si>
    <t>Hacer variaciones con respecto a lo visto</t>
  </si>
  <si>
    <t>Definir más detalles del problema, cantidad de especialistas, costos u otras para entender mejor el problema, poner cifras. No fracturadas por lo menos se debería informar al usuario en el diseño. Si menor al 80% siguen proceso normal, ¿esto soluciona el problema con impacto significativo'. ¿Cómo escogieron 224 de dimensión? Hicieron regularización y aumentaron capas lo cuál no tiene sentido, o aumento parámetros o los bajos, que es el mismo efecto de regularización.</t>
  </si>
  <si>
    <t>Definir qué pasaría con prioridades media y baja, desarrollar más en las estrategias que propondrían, falta aclarar el problema, es un tema de precisión o de oportunidad, y dar más contexto en por qué se está dando de tal manera que haya suficiente información para entender si la solución efectivamente le apunta al problema. Hacer historgrama de probabilidad en lugar de solo mirar las medidas centrales.</t>
  </si>
  <si>
    <t>subir epoch y bajar complejidad son estrategias opuestas, una le apunta  overfitting y la otra a underfitting, mejorar el diagnóstico de la red para saber en qué hiperparámetros enfocan afinamiento</t>
  </si>
  <si>
    <t>Muy rápido de la presentación, hay que mejroar fluidez</t>
  </si>
  <si>
    <t>Falta aclarar por qué actualmente no se detectan ¿cuál es el proceso actual que está fallando? Muchos pasos de construicción del modelo en diseño de la solución, los modelos deberían estar en una sola casilla porque es una misma tarea, descritos los modelos pero en una sola actividad. Faltó sacar más conclusiones de la exploración con la función encontrada. Faltó jsutificación de los modelos seleccionados.</t>
  </si>
  <si>
    <t>Hablan de precisión en diseño pero en el problema es un tema de costos, deberían estar alineados. Los modelos no debnerían ser cajas diferentes, que estén en diseño pero no divididos. El diseño dice mucho las actividades de construcción del modelo y no que está pasando con las predicciones y los usuarios.</t>
  </si>
  <si>
    <t>1. Diseño solución problema propuesto</t>
  </si>
  <si>
    <t>A2: particiapación inicio módulo salud</t>
  </si>
  <si>
    <t>A3: Opinión Artículo Salud</t>
  </si>
  <si>
    <t>2. Artículo</t>
  </si>
  <si>
    <t>3. Prediccion imágenes</t>
  </si>
  <si>
    <t>4. Presentación avances salud</t>
  </si>
  <si>
    <t>1. Claves que impactarán finanzas</t>
  </si>
  <si>
    <t>A4: Claves Finanzas</t>
  </si>
  <si>
    <t>2. Artículo aplicaciónes en salud</t>
  </si>
  <si>
    <t>A6: Artículo salud</t>
  </si>
  <si>
    <t>La justificación de los métodos está muy bien pero hay que ser más concreto porque le quita espacio a otros análisis</t>
  </si>
  <si>
    <t>Las imágenes con las que se comparan resultados tienen muy mala resolución, y el trabajo puede mejorar en presentación</t>
  </si>
  <si>
    <t>Está muy extenso 2 páginas que era casi el 50% de la extensión total</t>
  </si>
  <si>
    <t>Está muy extenso hay muchas etapas que no hablan del proceso de negocio sino del modelado, parece un paso a paso para el modelo no la descripción de cómo funcionaría el proceso</t>
  </si>
  <si>
    <t>Faltó usar gráficos, deamasiado texto, matrices de confusión, algunos gráficos para mostrar resultados</t>
  </si>
  <si>
    <t>Mucho texto y hay etapas que fueron más extensas de lo que era necesario</t>
  </si>
  <si>
    <t>Falta ordenar mejor el proyecto, hay salidas de excel .pkl y archivos de código revueltos en la raíz</t>
  </si>
  <si>
    <t>Como les hice la retroalimentación en la presentación de avances, cada modelo no es una caja en el diseño, debería ser una sola del modelo. El diseño está planteado para la construcción de un modelo no para explicar cómo funciona el proceso de negocio. No dice qué pasa con los resultados obtenidos del modelo</t>
  </si>
  <si>
    <t>No se explica claramente</t>
  </si>
  <si>
    <t>Bien las gráficas con análisis exploratorio pero hay muchas que no dicen mucho, se debe escoger las gráficas y conclusiones importantes del análisis, no analizar por analizar. Falta tener análisis más profundos que permitan tomar decisiones</t>
  </si>
  <si>
    <t>Mejorar presentación, ser más concreto en análisis y gnerar más datos relevantes</t>
  </si>
  <si>
    <t>No está organizado el proyecto, no separaron en carpetas, hay muchos análisis dentro del código que no deberían estar.</t>
  </si>
  <si>
    <t>La estrategia fue muy arriesgada pero asumieron muchos riesgo</t>
  </si>
  <si>
    <t>Faltó detalles de la metodología en el diseño de la solución, que era la parte más imporatnte del diseño</t>
  </si>
  <si>
    <t>Las gráficas no se veían bien, estaban muy pequeñas.</t>
  </si>
  <si>
    <t>Muy procedimiento y no como funciona el proceso, es porcentaje de no pago no probabilidad, debieron dejar el diseño final.</t>
  </si>
  <si>
    <t>Buena propuesta</t>
  </si>
  <si>
    <t>Faltó claridad en explicación de la metodología y mejorar la presentación de algunos datos se veían un poco desorganizado</t>
  </si>
  <si>
    <t>Tenían solo sobresetimación</t>
  </si>
  <si>
    <t>Faltó fluidez en la presentación, parecía falta de preparación, los gráficos no se veían bien. Muchos gráficos juntos en una diapositivos</t>
  </si>
  <si>
    <t>Faltó proponer soluciones más elaboradas por ejemplo el de cero en predicción no se le cobraba interés de RC</t>
  </si>
  <si>
    <t>Faltó mucha fluidez en la presentación, mucho texto y detalles que no eran necesario como escalado de la variable. Gráficas no se ven. Y en algunas diapositivas mucho texto.</t>
  </si>
  <si>
    <t>Muy procedimiento el diseño de la solución, es más en terminos de negocio, no es claro el diseño, ¿qué es cruzar'.</t>
  </si>
  <si>
    <t>No se entendió la metodología  en la presentación,  la metodología está bien pero no la explñicaron bien</t>
  </si>
  <si>
    <t>Faltó tener diapositivas mejor elaboradas y las conclusiones usaron hipótesis que no se reflejan en los datos.</t>
  </si>
  <si>
    <t>Debido a ser los de mayores utilidades</t>
  </si>
  <si>
    <t>Muy creativa la propuesta pero tener cuidado porque ponen a competir un modelo con lo que construyeron ustedes. Es como desconocer la información que genera el modelo.</t>
  </si>
  <si>
    <t>El diseño era mostrar cómo se calculó, entrenamiento del modelo es muy genérico, debería ser más claro. No explicaron cómo se calculó la tasa</t>
  </si>
  <si>
    <t>3.  Avances finanzas en clase 1</t>
  </si>
  <si>
    <t>4.  Avances finanzas en clase 2</t>
  </si>
  <si>
    <t>5.  Avances finanzas en clase 3</t>
  </si>
  <si>
    <t>Falta enfocar más el diseño propusieron algo muy complejo</t>
  </si>
  <si>
    <t>Faltaba afinar detalles</t>
  </si>
  <si>
    <t>No explicaron bien lo que tenían</t>
  </si>
  <si>
    <t>No asisitió casi nadie del grupo y en una de las rondas no respondieron cuando pregunté por los avances, la propuesta es muy sencilla</t>
  </si>
  <si>
    <t>No avanzaron mucho con respecto a la primera sesión</t>
  </si>
  <si>
    <t>Tenían el modelo pero la propuesta no fue muy elaborada</t>
  </si>
  <si>
    <t>Muy buenas propuestas</t>
  </si>
  <si>
    <t>Nota presentación</t>
  </si>
  <si>
    <t>Seguimientos</t>
  </si>
  <si>
    <t>A7: Participación en clse</t>
  </si>
  <si>
    <t>Bonificaciones</t>
  </si>
  <si>
    <t>En amarillo notas con las bonificaciones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</si>
</sst>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scheme val="minor"/>
    </font>
    <font>
      <b/>
      <sz val="11"/>
      <color theme="1"/>
      <name val="Calibri"/>
      <family val="2"/>
      <scheme val="minor"/>
    </font>
    <font>
      <u/>
      <sz val="11"/>
      <color theme="1"/>
      <name val="Calibri"/>
      <family val="2"/>
      <scheme val="minor"/>
    </font>
    <font>
      <sz val="8"/>
      <name val="Calibri"/>
      <family val="2"/>
      <scheme val="minor"/>
    </font>
    <font>
      <b/>
      <sz val="10"/>
      <color theme="1"/>
      <name val="Arial"/>
      <family val="2"/>
    </font>
    <font>
      <sz val="10"/>
      <color theme="1"/>
      <name val="Arial"/>
      <family val="2"/>
    </font>
    <font>
      <sz val="11"/>
      <color rgb="FF222222"/>
      <name val="Google Sans"/>
    </font>
  </fonts>
  <fills count="9">
    <fill>
      <patternFill patternType="none"/>
    </fill>
    <fill>
      <patternFill patternType="gray125"/>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999999"/>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indexed="64"/>
      </left>
      <right/>
      <top/>
      <bottom/>
      <diagonal/>
    </border>
  </borders>
  <cellStyleXfs count="1">
    <xf numFmtId="0" fontId="0" fillId="0" borderId="0"/>
  </cellStyleXfs>
  <cellXfs count="90">
    <xf numFmtId="0" fontId="0" fillId="0" borderId="0" xfId="0"/>
    <xf numFmtId="0" fontId="0" fillId="0" borderId="0" xfId="0" applyAlignment="1">
      <alignment horizontal="center"/>
    </xf>
    <xf numFmtId="0" fontId="0" fillId="0" borderId="0" xfId="0" applyAlignment="1">
      <alignment horizontal="left"/>
    </xf>
    <xf numFmtId="9" fontId="0" fillId="0" borderId="0" xfId="0" applyNumberFormat="1" applyAlignment="1">
      <alignment horizontal="center"/>
    </xf>
    <xf numFmtId="0" fontId="0" fillId="0" borderId="0" xfId="0" applyAlignment="1">
      <alignment vertical="center"/>
    </xf>
    <xf numFmtId="0" fontId="0" fillId="0" borderId="1" xfId="0" applyBorder="1"/>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wrapText="1"/>
    </xf>
    <xf numFmtId="0" fontId="0" fillId="0" borderId="1" xfId="0" applyBorder="1" applyAlignment="1">
      <alignment horizontal="center"/>
    </xf>
    <xf numFmtId="0" fontId="1" fillId="2" borderId="1" xfId="0" applyFont="1" applyFill="1" applyBorder="1" applyAlignment="1">
      <alignment horizontal="center" vertical="center" wrapText="1"/>
    </xf>
    <xf numFmtId="164" fontId="0" fillId="0" borderId="1" xfId="0" applyNumberFormat="1" applyBorder="1" applyAlignment="1">
      <alignment horizontal="center"/>
    </xf>
    <xf numFmtId="0" fontId="1" fillId="0" borderId="1" xfId="0" applyFont="1" applyBorder="1" applyAlignment="1">
      <alignment horizontal="center"/>
    </xf>
    <xf numFmtId="0" fontId="1" fillId="3" borderId="1" xfId="0" applyFont="1" applyFill="1" applyBorder="1" applyAlignment="1">
      <alignment horizontal="center" vertical="center" wrapText="1"/>
    </xf>
    <xf numFmtId="0" fontId="0" fillId="3" borderId="1" xfId="0" applyFill="1" applyBorder="1" applyAlignment="1">
      <alignment horizontal="center"/>
    </xf>
    <xf numFmtId="0" fontId="1" fillId="0" borderId="2" xfId="0" applyFont="1" applyBorder="1" applyAlignment="1">
      <alignment horizontal="center" vertical="center"/>
    </xf>
    <xf numFmtId="2" fontId="0" fillId="2" borderId="1" xfId="0" applyNumberFormat="1" applyFill="1" applyBorder="1" applyAlignment="1">
      <alignment horizontal="center"/>
    </xf>
    <xf numFmtId="164" fontId="0" fillId="3" borderId="1" xfId="0" applyNumberFormat="1" applyFill="1" applyBorder="1" applyAlignment="1">
      <alignment horizontal="center"/>
    </xf>
    <xf numFmtId="0" fontId="0" fillId="4" borderId="1" xfId="0" applyFill="1" applyBorder="1" applyAlignment="1">
      <alignment horizontal="center" vertical="center"/>
    </xf>
    <xf numFmtId="0" fontId="0" fillId="0" borderId="0" xfId="0" applyAlignment="1">
      <alignment horizontal="center" vertic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 xfId="0" applyBorder="1" applyAlignment="1">
      <alignment vertical="center" wrapText="1"/>
    </xf>
    <xf numFmtId="164" fontId="0" fillId="6" borderId="1" xfId="0" applyNumberFormat="1" applyFill="1" applyBorder="1" applyAlignment="1">
      <alignment horizontal="center"/>
    </xf>
    <xf numFmtId="0" fontId="0" fillId="0" borderId="2" xfId="0" applyBorder="1" applyAlignment="1">
      <alignment horizontal="center" vertical="center" wrapText="1"/>
    </xf>
    <xf numFmtId="164" fontId="1" fillId="0" borderId="1" xfId="0" applyNumberFormat="1" applyFont="1" applyBorder="1" applyAlignment="1">
      <alignment horizontal="center" vertical="center"/>
    </xf>
    <xf numFmtId="164" fontId="0" fillId="0" borderId="1" xfId="0" applyNumberFormat="1" applyBorder="1" applyAlignment="1">
      <alignment horizontal="center" vertical="center"/>
    </xf>
    <xf numFmtId="164" fontId="0" fillId="0" borderId="0" xfId="0" applyNumberFormat="1" applyAlignment="1">
      <alignment horizontal="center" vertical="center"/>
    </xf>
    <xf numFmtId="9" fontId="0" fillId="0" borderId="1" xfId="0" applyNumberFormat="1" applyBorder="1" applyAlignment="1">
      <alignment horizontal="center" vertical="center"/>
    </xf>
    <xf numFmtId="0" fontId="1" fillId="2" borderId="1" xfId="0" applyFont="1" applyFill="1" applyBorder="1" applyAlignment="1">
      <alignment horizontal="center" vertical="center"/>
    </xf>
    <xf numFmtId="164" fontId="0" fillId="2" borderId="1" xfId="0" applyNumberFormat="1" applyFill="1" applyBorder="1" applyAlignment="1">
      <alignment horizontal="center"/>
    </xf>
    <xf numFmtId="164" fontId="0" fillId="6" borderId="3" xfId="0" applyNumberFormat="1" applyFill="1" applyBorder="1" applyAlignment="1">
      <alignment horizontal="center"/>
    </xf>
    <xf numFmtId="0" fontId="1" fillId="0" borderId="1" xfId="0" applyFont="1" applyBorder="1"/>
    <xf numFmtId="0" fontId="0" fillId="5" borderId="1" xfId="0" applyFill="1" applyBorder="1" applyAlignment="1">
      <alignment horizontal="left"/>
    </xf>
    <xf numFmtId="0" fontId="0" fillId="0" borderId="1" xfId="0" applyBorder="1" applyAlignment="1">
      <alignment horizontal="left"/>
    </xf>
    <xf numFmtId="2" fontId="0" fillId="2" borderId="3" xfId="0" applyNumberFormat="1" applyFill="1" applyBorder="1" applyAlignment="1">
      <alignment horizontal="center"/>
    </xf>
    <xf numFmtId="0" fontId="4" fillId="0" borderId="10" xfId="0" applyFont="1" applyBorder="1" applyAlignment="1">
      <alignment horizontal="center" wrapText="1"/>
    </xf>
    <xf numFmtId="0" fontId="4" fillId="0" borderId="11" xfId="0" applyFont="1" applyBorder="1" applyAlignment="1">
      <alignment horizontal="center" wrapText="1"/>
    </xf>
    <xf numFmtId="0" fontId="5" fillId="7" borderId="12" xfId="0" applyFont="1" applyFill="1" applyBorder="1" applyAlignment="1">
      <alignment horizontal="center" wrapText="1"/>
    </xf>
    <xf numFmtId="0" fontId="6" fillId="7" borderId="13" xfId="0" applyFont="1" applyFill="1" applyBorder="1" applyAlignment="1">
      <alignment horizontal="center" wrapText="1"/>
    </xf>
    <xf numFmtId="0" fontId="5" fillId="7" borderId="13" xfId="0" applyFont="1" applyFill="1" applyBorder="1" applyAlignment="1">
      <alignment horizontal="center" wrapText="1"/>
    </xf>
    <xf numFmtId="16" fontId="5" fillId="7" borderId="13" xfId="0" applyNumberFormat="1" applyFont="1" applyFill="1" applyBorder="1" applyAlignment="1">
      <alignment horizontal="center" wrapText="1"/>
    </xf>
    <xf numFmtId="0" fontId="5" fillId="7" borderId="13" xfId="0" applyFont="1" applyFill="1" applyBorder="1" applyAlignment="1">
      <alignment wrapText="1"/>
    </xf>
    <xf numFmtId="0" fontId="5" fillId="0" borderId="12" xfId="0" applyFont="1" applyBorder="1" applyAlignment="1">
      <alignment horizontal="center" wrapText="1"/>
    </xf>
    <xf numFmtId="0" fontId="5" fillId="0" borderId="13" xfId="0" applyFont="1" applyBorder="1" applyAlignment="1">
      <alignment horizontal="center" wrapText="1"/>
    </xf>
    <xf numFmtId="16" fontId="5" fillId="0" borderId="13" xfId="0" applyNumberFormat="1" applyFont="1" applyBorder="1" applyAlignment="1">
      <alignment horizontal="center" wrapText="1"/>
    </xf>
    <xf numFmtId="0" fontId="5" fillId="0" borderId="13" xfId="0" applyFont="1" applyBorder="1" applyAlignment="1">
      <alignment wrapText="1"/>
    </xf>
    <xf numFmtId="0" fontId="5" fillId="8" borderId="12" xfId="0" applyFont="1" applyFill="1" applyBorder="1" applyAlignment="1">
      <alignment horizontal="center" wrapText="1"/>
    </xf>
    <xf numFmtId="0" fontId="5" fillId="8" borderId="13" xfId="0" applyFont="1" applyFill="1" applyBorder="1" applyAlignment="1">
      <alignment horizontal="center" wrapText="1"/>
    </xf>
    <xf numFmtId="16" fontId="5" fillId="8" borderId="13" xfId="0" applyNumberFormat="1" applyFont="1" applyFill="1" applyBorder="1" applyAlignment="1">
      <alignment horizontal="center" wrapText="1"/>
    </xf>
    <xf numFmtId="0" fontId="5" fillId="8" borderId="13" xfId="0" applyFont="1" applyFill="1" applyBorder="1" applyAlignment="1">
      <alignment wrapText="1"/>
    </xf>
    <xf numFmtId="0" fontId="0" fillId="0" borderId="1" xfId="0" applyBorder="1" applyAlignment="1">
      <alignment vertical="center"/>
    </xf>
    <xf numFmtId="0" fontId="0" fillId="0" borderId="2" xfId="0" applyBorder="1" applyAlignment="1">
      <alignment horizontal="left" vertical="center" wrapText="1"/>
    </xf>
    <xf numFmtId="164" fontId="0" fillId="2" borderId="3" xfId="0" applyNumberFormat="1" applyFill="1" applyBorder="1" applyAlignment="1">
      <alignment horizontal="center"/>
    </xf>
    <xf numFmtId="0" fontId="0" fillId="0" borderId="1" xfId="0" applyBorder="1" applyAlignment="1">
      <alignment vertical="center" wrapText="1"/>
    </xf>
    <xf numFmtId="164" fontId="0" fillId="0" borderId="2" xfId="0" applyNumberFormat="1" applyBorder="1" applyAlignment="1">
      <alignment horizontal="center" vertical="center"/>
    </xf>
    <xf numFmtId="0" fontId="0" fillId="0" borderId="1" xfId="0" applyBorder="1" applyAlignment="1">
      <alignment horizontal="left" vertical="center" wrapText="1"/>
    </xf>
    <xf numFmtId="0" fontId="0" fillId="0" borderId="4" xfId="0" applyBorder="1" applyAlignment="1">
      <alignment horizontal="center" wrapText="1"/>
    </xf>
    <xf numFmtId="0" fontId="0" fillId="0" borderId="5" xfId="0" applyBorder="1" applyAlignment="1">
      <alignment horizontal="center"/>
    </xf>
    <xf numFmtId="0" fontId="0" fillId="0" borderId="6" xfId="0" applyBorder="1" applyAlignment="1">
      <alignment horizont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xf>
    <xf numFmtId="0" fontId="0" fillId="0" borderId="5" xfId="0" applyBorder="1" applyAlignment="1">
      <alignment horizontal="center" wrapText="1"/>
    </xf>
    <xf numFmtId="0" fontId="0" fillId="0" borderId="5" xfId="0" applyBorder="1" applyAlignment="1">
      <alignment horizontal="center" vertical="center" wrapText="1"/>
    </xf>
    <xf numFmtId="0" fontId="0" fillId="0" borderId="0" xfId="0" applyBorder="1"/>
    <xf numFmtId="0" fontId="0" fillId="0" borderId="0" xfId="0" applyBorder="1" applyAlignment="1">
      <alignment horizontal="center"/>
    </xf>
    <xf numFmtId="0" fontId="1" fillId="0" borderId="0" xfId="0" applyFont="1"/>
    <xf numFmtId="9" fontId="0" fillId="0" borderId="0" xfId="0" applyNumberFormat="1" applyFill="1" applyAlignment="1">
      <alignment horizont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164" fontId="0" fillId="0" borderId="1" xfId="0" applyNumberFormat="1" applyFill="1" applyBorder="1" applyAlignment="1">
      <alignment horizontal="center"/>
    </xf>
    <xf numFmtId="0" fontId="0" fillId="0" borderId="0" xfId="0" applyFill="1" applyBorder="1"/>
    <xf numFmtId="0" fontId="0" fillId="0" borderId="0"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2" borderId="9" xfId="0" applyFill="1" applyBorder="1"/>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xf>
    <xf numFmtId="164" fontId="0" fillId="2" borderId="2" xfId="0" applyNumberFormat="1" applyFill="1" applyBorder="1" applyAlignment="1">
      <alignment horizontal="center"/>
    </xf>
    <xf numFmtId="0" fontId="0" fillId="6" borderId="0" xfId="0" applyFill="1" applyAlignment="1">
      <alignment horizontal="center" vertical="center" wrapText="1"/>
    </xf>
    <xf numFmtId="0" fontId="0" fillId="6" borderId="14" xfId="0" applyFill="1" applyBorder="1" applyAlignment="1">
      <alignment horizontal="center" vertical="center" wrapText="1"/>
    </xf>
    <xf numFmtId="164" fontId="0" fillId="6" borderId="2" xfId="0" applyNumberFormat="1" applyFill="1" applyBorder="1" applyAlignment="1">
      <alignment horizontal="center"/>
    </xf>
    <xf numFmtId="164" fontId="0" fillId="0" borderId="0" xfId="0" applyNumberFormat="1"/>
  </cellXfs>
  <cellStyles count="1">
    <cellStyle name="Normal" xfId="0" builtinId="0"/>
  </cellStyles>
  <dxfs count="2">
    <dxf>
      <fill>
        <patternFill>
          <bgColor theme="0" tint="-0.49998474074526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UAN CAMILO ESPANA LOPERA" id="{8B19E1F7-91C7-40DF-A3FB-6A6DC05A74D1}" userId="S::juan.espana@udea.edu.co::943ad547-fde8-4744-ab31-5f95973cd170"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4-08-13T21:02:26.08" personId="{8B19E1F7-91C7-40DF-A3FB-6A6DC05A74D1}" id="{8DABFBB4-6276-483A-8995-A800A8A763D5}">
    <text>Tienen excusa para la asistencia a clase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21484-3F85-4E13-B3DD-3A87C63B2B0B}">
  <sheetPr filterMode="1"/>
  <dimension ref="A1:W27"/>
  <sheetViews>
    <sheetView tabSelected="1" zoomScaleNormal="100" workbookViewId="0">
      <pane xSplit="2" ySplit="2" topLeftCell="H3" activePane="bottomRight" state="frozen"/>
      <selection pane="topRight" activeCell="C1" sqref="C1"/>
      <selection pane="bottomLeft" activeCell="A3" sqref="A3"/>
      <selection pane="bottomRight" activeCell="J32" sqref="J32"/>
    </sheetView>
  </sheetViews>
  <sheetFormatPr baseColWidth="10" defaultRowHeight="15"/>
  <cols>
    <col min="1" max="1" width="42.28515625" style="71" customWidth="1"/>
    <col min="2" max="2" width="37.5703125" style="71" customWidth="1"/>
    <col min="3" max="3" width="16.5703125" style="71" hidden="1" customWidth="1"/>
    <col min="4" max="6" width="15.140625" style="71" hidden="1" customWidth="1"/>
    <col min="7" max="7" width="19" style="78" customWidth="1"/>
    <col min="8" max="8" width="22" style="78" customWidth="1"/>
    <col min="9" max="9" width="21.28515625" style="78" customWidth="1"/>
    <col min="10" max="12" width="16.7109375" style="78" customWidth="1"/>
    <col min="13" max="13" width="16.7109375" style="79" customWidth="1"/>
    <col min="14" max="14" width="16.7109375" style="71" customWidth="1"/>
    <col min="15" max="15" width="13.85546875" style="71" customWidth="1"/>
    <col min="16" max="16" width="13.42578125" style="71" customWidth="1"/>
    <col min="17" max="17" width="11.42578125" style="72" customWidth="1"/>
    <col min="18" max="18" width="11.42578125" style="71" customWidth="1"/>
    <col min="19" max="19" width="13.42578125" style="72" hidden="1" customWidth="1"/>
    <col min="20" max="20" width="14.7109375" style="71" customWidth="1"/>
    <col min="21" max="21" width="25.28515625" style="71" customWidth="1"/>
    <col min="22" max="16384" width="11.42578125" style="71"/>
  </cols>
  <sheetData>
    <row r="1" spans="1:23" customFormat="1">
      <c r="G1" s="74">
        <v>0.1</v>
      </c>
      <c r="H1" s="74">
        <v>0.15</v>
      </c>
      <c r="I1" s="74">
        <v>0.1</v>
      </c>
      <c r="J1" s="74">
        <v>0.15</v>
      </c>
      <c r="K1" s="74">
        <v>0.1</v>
      </c>
      <c r="L1" s="74">
        <v>0.15</v>
      </c>
      <c r="M1" s="74">
        <v>0.1</v>
      </c>
      <c r="N1" s="3">
        <v>0.15</v>
      </c>
      <c r="O1" s="80" t="s">
        <v>32</v>
      </c>
      <c r="P1" s="81"/>
      <c r="Q1" s="81"/>
      <c r="R1" s="82"/>
      <c r="S1" s="1"/>
    </row>
    <row r="2" spans="1:23" s="20" customFormat="1" ht="30">
      <c r="A2" s="7" t="s">
        <v>0</v>
      </c>
      <c r="B2" s="7" t="s">
        <v>1</v>
      </c>
      <c r="C2" s="8" t="s">
        <v>16</v>
      </c>
      <c r="D2" s="8" t="s">
        <v>18</v>
      </c>
      <c r="E2" s="8" t="s">
        <v>34</v>
      </c>
      <c r="F2" s="8" t="s">
        <v>36</v>
      </c>
      <c r="G2" s="75" t="s">
        <v>17</v>
      </c>
      <c r="H2" s="75" t="s">
        <v>27</v>
      </c>
      <c r="I2" s="76" t="s">
        <v>14</v>
      </c>
      <c r="J2" s="76" t="s">
        <v>28</v>
      </c>
      <c r="K2" s="76" t="s">
        <v>40</v>
      </c>
      <c r="L2" s="76" t="s">
        <v>37</v>
      </c>
      <c r="M2" s="76" t="s">
        <v>43</v>
      </c>
      <c r="N2" s="8" t="s">
        <v>44</v>
      </c>
      <c r="O2" s="83" t="s">
        <v>33</v>
      </c>
      <c r="P2" s="30" t="s">
        <v>31</v>
      </c>
      <c r="Q2" s="30" t="s">
        <v>41</v>
      </c>
      <c r="R2" s="84" t="s">
        <v>42</v>
      </c>
      <c r="S2" s="7" t="s">
        <v>108</v>
      </c>
      <c r="T2" s="7" t="s">
        <v>312</v>
      </c>
      <c r="U2" s="87" t="s">
        <v>313</v>
      </c>
      <c r="V2" s="86"/>
      <c r="W2" s="86"/>
    </row>
    <row r="3" spans="1:23" customFormat="1">
      <c r="A3" s="34" t="s">
        <v>55</v>
      </c>
      <c r="B3" s="34" t="s">
        <v>56</v>
      </c>
      <c r="C3" s="10">
        <v>1</v>
      </c>
      <c r="D3" s="10">
        <v>1</v>
      </c>
      <c r="E3" s="10">
        <v>1</v>
      </c>
      <c r="F3" s="10">
        <v>1</v>
      </c>
      <c r="G3" s="77">
        <f>IFERROR(VLOOKUP(B3,seguimiento_HR!B:J,2,0),"")</f>
        <v>4.5999999999999996</v>
      </c>
      <c r="H3" s="77">
        <f>IFERROR(VLOOKUP(C3&amp;$H$2&amp;"Total",retroalimenación!D:F,3,0),"")</f>
        <v>5</v>
      </c>
      <c r="I3" s="77">
        <f>IFERROR(VLOOKUP(B3,seguimiento_mark!B:C,2,0),"")</f>
        <v>3</v>
      </c>
      <c r="J3" s="77">
        <f>IFERROR(VLOOKUP(D3&amp;$J$2&amp;"Total",retroalimenación!D:F,3,0),"")</f>
        <v>5</v>
      </c>
      <c r="K3" s="77">
        <f>IFERROR(VLOOKUP(B3,seguimiento_salud!B:C,2,0),"")</f>
        <v>4.9000000000000004</v>
      </c>
      <c r="L3" s="77">
        <f>IFERROR(VLOOKUP(E3&amp;$L$2&amp;"Total",retroalimenación!D:F,3,0),"")</f>
        <v>5</v>
      </c>
      <c r="M3" s="77">
        <f>IFERROR(VLOOKUP(B3,seguimiento_finanzas!B:C,2,0),"")</f>
        <v>4.9000000000000004</v>
      </c>
      <c r="N3" s="12">
        <f>IFERROR(VLOOKUP(E3&amp;$N$2&amp;"Total",retroalimenación!D:F,3,0),"")</f>
        <v>5</v>
      </c>
      <c r="O3" s="54">
        <f>ROUND(SUMPRODUCT(G3:H3,$G$1:$H$1)*4,1)</f>
        <v>4.8</v>
      </c>
      <c r="P3" s="24">
        <f>ROUND(SUMPRODUCT(I3:J3,$I$1:$J$1)*4,1)+0.4</f>
        <v>4.6000000000000005</v>
      </c>
      <c r="Q3" s="31">
        <f>ROUND(SUMPRODUCT(K3:L3,$K$1:$L$1)*4,1)</f>
        <v>5</v>
      </c>
      <c r="R3" s="85">
        <f>ROUND(SUMPRODUCT(M3:N3,$M$1:$N$1)*4,1)</f>
        <v>5</v>
      </c>
      <c r="S3" s="10"/>
      <c r="T3" s="10">
        <f>VLOOKUP(B3,bonificaciones!B:C,2,0)</f>
        <v>0.4</v>
      </c>
      <c r="U3" s="89"/>
    </row>
    <row r="4" spans="1:23" customFormat="1">
      <c r="A4" s="34" t="s">
        <v>57</v>
      </c>
      <c r="B4" s="34" t="s">
        <v>58</v>
      </c>
      <c r="C4" s="10">
        <v>5</v>
      </c>
      <c r="D4" s="10">
        <v>5</v>
      </c>
      <c r="E4" s="10">
        <v>5</v>
      </c>
      <c r="F4" s="10">
        <v>5</v>
      </c>
      <c r="G4" s="77">
        <v>4.7</v>
      </c>
      <c r="H4" s="77">
        <f>IFERROR(VLOOKUP(C4&amp;$H$2&amp;"Total",retroalimenación!D:F,3,0),"")</f>
        <v>5</v>
      </c>
      <c r="I4" s="77">
        <v>4.7</v>
      </c>
      <c r="J4" s="77">
        <f>IFERROR(VLOOKUP(D4&amp;$J$2&amp;"Total",retroalimenación!D:F,3,0),"")</f>
        <v>4.2749999999999995</v>
      </c>
      <c r="K4" s="77">
        <v>4.7</v>
      </c>
      <c r="L4" s="77">
        <f>IFERROR(VLOOKUP(E4&amp;$L$2&amp;"Total",retroalimenación!D:F,3,0),"")</f>
        <v>5</v>
      </c>
      <c r="M4" s="77">
        <v>4.7</v>
      </c>
      <c r="N4" s="12">
        <f>IFERROR(VLOOKUP(E4&amp;$N$2&amp;"Total",retroalimenación!D:F,3,0),"")</f>
        <v>5</v>
      </c>
      <c r="O4" s="54">
        <f>ROUND(SUMPRODUCT(G4:H4,$G$1:$H$1)*4,1)</f>
        <v>4.9000000000000004</v>
      </c>
      <c r="P4" s="31">
        <f>ROUND(SUMPRODUCT(I4:J4,$I$1:$J$1)*4,1)</f>
        <v>4.4000000000000004</v>
      </c>
      <c r="Q4" s="31">
        <f>ROUND(SUMPRODUCT(K4:L4,$K$1:$L$1)*4,1)</f>
        <v>4.9000000000000004</v>
      </c>
      <c r="R4" s="85">
        <f>ROUND(SUMPRODUCT(M4:N4,$M$1:$N$1)*4,1)</f>
        <v>4.9000000000000004</v>
      </c>
      <c r="S4" s="10" t="s">
        <v>109</v>
      </c>
      <c r="T4" s="10">
        <f>VLOOKUP(B4,bonificaciones!B:C,2,0)</f>
        <v>0</v>
      </c>
      <c r="U4" s="89"/>
    </row>
    <row r="5" spans="1:23" customFormat="1">
      <c r="A5" s="34" t="s">
        <v>59</v>
      </c>
      <c r="B5" s="34" t="s">
        <v>60</v>
      </c>
      <c r="C5" s="10">
        <v>2</v>
      </c>
      <c r="D5" s="10">
        <v>2</v>
      </c>
      <c r="E5" s="10">
        <v>2</v>
      </c>
      <c r="F5" s="10">
        <v>2</v>
      </c>
      <c r="G5" s="77">
        <f>IFERROR(VLOOKUP(B5,seguimiento_HR!B:J,2,0),"")</f>
        <v>4.0999999999999996</v>
      </c>
      <c r="H5" s="77">
        <f>IFERROR(VLOOKUP(C5&amp;$H$2&amp;"Total",retroalimenación!D:F,3,0),"")</f>
        <v>5</v>
      </c>
      <c r="I5" s="77">
        <f>IFERROR(VLOOKUP(B5,seguimiento_mark!B:C,2,0),"")</f>
        <v>2</v>
      </c>
      <c r="J5" s="77">
        <f>IFERROR(VLOOKUP(D5&amp;$J$2&amp;"Total",retroalimenación!D:F,3,0),"")</f>
        <v>5</v>
      </c>
      <c r="K5" s="77">
        <f>IFERROR(VLOOKUP(B5,seguimiento_salud!B:C,2,0),"")</f>
        <v>4</v>
      </c>
      <c r="L5" s="77">
        <f>IFERROR(VLOOKUP(E5&amp;$L$2&amp;"Total",retroalimenación!D:F,3,0),"")</f>
        <v>5</v>
      </c>
      <c r="M5" s="77">
        <f>IFERROR(VLOOKUP(B5,seguimiento_finanzas!B:C,2,0),"")</f>
        <v>4.9000000000000004</v>
      </c>
      <c r="N5" s="12">
        <f>IFERROR(VLOOKUP(E5&amp;$N$2&amp;"Total",retroalimenación!D:F,3,0),"")</f>
        <v>4.6899999999999995</v>
      </c>
      <c r="O5" s="54">
        <f>ROUND(SUMPRODUCT(G5:H5,$G$1:$H$1)*4,1)</f>
        <v>4.5999999999999996</v>
      </c>
      <c r="P5" s="24">
        <f>ROUND(SUMPRODUCT(I5:J5,$I$1:$J$1)*4,1)+0.4</f>
        <v>4.2</v>
      </c>
      <c r="Q5" s="31">
        <f>ROUND(SUMPRODUCT(K5:L5,$K$1:$L$1)*4,1)</f>
        <v>4.5999999999999996</v>
      </c>
      <c r="R5" s="85">
        <f>ROUND(SUMPRODUCT(M5:N5,$M$1:$N$1)*4,1)</f>
        <v>4.8</v>
      </c>
      <c r="S5" s="10"/>
      <c r="T5" s="10">
        <f>VLOOKUP(B5,bonificaciones!B:C,2,0)</f>
        <v>0.60000000000000009</v>
      </c>
      <c r="U5" s="89"/>
    </row>
    <row r="6" spans="1:23" customFormat="1" hidden="1">
      <c r="A6" s="34" t="s">
        <v>61</v>
      </c>
      <c r="B6" s="34" t="s">
        <v>62</v>
      </c>
      <c r="C6" s="10">
        <v>8</v>
      </c>
      <c r="D6" s="10">
        <v>8</v>
      </c>
      <c r="E6" s="10">
        <v>8</v>
      </c>
      <c r="F6" s="10">
        <v>8</v>
      </c>
      <c r="G6" s="77">
        <v>4.5</v>
      </c>
      <c r="H6" s="77">
        <f>IFERROR(VLOOKUP(C6&amp;$H$2&amp;"Total",retroalimenación!D:F,3,0),"")</f>
        <v>3.7749999999999995</v>
      </c>
      <c r="I6" s="77">
        <v>4.5</v>
      </c>
      <c r="J6" s="77">
        <f>IFERROR(VLOOKUP(D6&amp;$J$2&amp;"Total",retroalimenación!D:F,3,0),"")</f>
        <v>2.8250000000000002</v>
      </c>
      <c r="K6" s="77">
        <v>4.5</v>
      </c>
      <c r="L6" s="77">
        <f>IFERROR(VLOOKUP(E6&amp;$L$2&amp;"Total",retroalimenación!D:F,3,0),"")</f>
        <v>4.1749999999999998</v>
      </c>
      <c r="M6" s="77">
        <v>4.5</v>
      </c>
      <c r="N6" s="12">
        <f>IFERROR(VLOOKUP(E6&amp;$N$2&amp;"Total",retroalimenación!D:F,3,0),"")</f>
        <v>5</v>
      </c>
      <c r="O6" s="54">
        <f>ROUND(SUMPRODUCT(G6:H6,$G$1:$H$1)*4,1)</f>
        <v>4.0999999999999996</v>
      </c>
      <c r="P6" s="31">
        <f>ROUND(SUMPRODUCT(I6:J6,$I$1:$J$1)*4,1)</f>
        <v>3.5</v>
      </c>
      <c r="Q6" s="31">
        <f>ROUND(SUMPRODUCT(K6:L6,$K$1:$L$1)*4,1)</f>
        <v>4.3</v>
      </c>
      <c r="R6" s="85">
        <f>ROUND(SUMPRODUCT(M6:N6,$M$1:$N$1)*4,1)</f>
        <v>4.8</v>
      </c>
      <c r="S6" s="10" t="s">
        <v>109</v>
      </c>
      <c r="T6" s="10">
        <f>VLOOKUP(B6,bonificaciones!B:C,2,0)</f>
        <v>0</v>
      </c>
      <c r="U6" s="89"/>
    </row>
    <row r="7" spans="1:23" customFormat="1">
      <c r="A7" s="34" t="s">
        <v>63</v>
      </c>
      <c r="B7" s="34" t="s">
        <v>64</v>
      </c>
      <c r="C7" s="10">
        <v>5</v>
      </c>
      <c r="D7" s="10">
        <v>5</v>
      </c>
      <c r="E7" s="10">
        <v>5</v>
      </c>
      <c r="F7" s="10">
        <v>5</v>
      </c>
      <c r="G7" s="77">
        <v>4.8</v>
      </c>
      <c r="H7" s="77">
        <f>IFERROR(VLOOKUP(C7&amp;$H$2&amp;"Total",retroalimenación!D:F,3,0),"")</f>
        <v>5</v>
      </c>
      <c r="I7" s="77">
        <v>4.8</v>
      </c>
      <c r="J7" s="77">
        <f>IFERROR(VLOOKUP(D7&amp;$J$2&amp;"Total",retroalimenación!D:F,3,0),"")</f>
        <v>4.2749999999999995</v>
      </c>
      <c r="K7" s="77">
        <v>4.8</v>
      </c>
      <c r="L7" s="77">
        <f>IFERROR(VLOOKUP(E7&amp;$L$2&amp;"Total",retroalimenación!D:F,3,0),"")</f>
        <v>5</v>
      </c>
      <c r="M7" s="77">
        <v>4.8</v>
      </c>
      <c r="N7" s="12">
        <f>IFERROR(VLOOKUP(E7&amp;$N$2&amp;"Total",retroalimenación!D:F,3,0),"")</f>
        <v>5</v>
      </c>
      <c r="O7" s="54">
        <f>ROUND(SUMPRODUCT(G7:H7,$G$1:$H$1)*4,1)</f>
        <v>4.9000000000000004</v>
      </c>
      <c r="P7" s="31">
        <f>ROUND(SUMPRODUCT(I7:J7,$I$1:$J$1)*4,1)</f>
        <v>4.5</v>
      </c>
      <c r="Q7" s="31">
        <f>ROUND(SUMPRODUCT(K7:L7,$K$1:$L$1)*4,1)</f>
        <v>4.9000000000000004</v>
      </c>
      <c r="R7" s="85">
        <f>ROUND(SUMPRODUCT(M7:N7,$M$1:$N$1)*4,1)</f>
        <v>4.9000000000000004</v>
      </c>
      <c r="S7" s="10" t="s">
        <v>109</v>
      </c>
      <c r="T7" s="10">
        <f>VLOOKUP(B7,bonificaciones!B:C,2,0)</f>
        <v>0</v>
      </c>
      <c r="U7" s="89"/>
    </row>
    <row r="8" spans="1:23" customFormat="1">
      <c r="A8" s="35" t="s">
        <v>65</v>
      </c>
      <c r="B8" s="35" t="s">
        <v>66</v>
      </c>
      <c r="C8" s="10">
        <v>3</v>
      </c>
      <c r="D8" s="10">
        <v>3</v>
      </c>
      <c r="E8" s="10">
        <v>3</v>
      </c>
      <c r="F8" s="10">
        <v>3</v>
      </c>
      <c r="G8" s="77">
        <f>IFERROR(VLOOKUP(B8,seguimiento_HR!B:J,2,0),"")</f>
        <v>4.4000000000000004</v>
      </c>
      <c r="H8" s="77">
        <f>IFERROR(VLOOKUP(C8&amp;$H$2&amp;"Total",retroalimenación!D:F,3,0),"")</f>
        <v>4.4850000000000003</v>
      </c>
      <c r="I8" s="77">
        <f>IFERROR(VLOOKUP(B8,seguimiento_mark!B:C,2,0),"")</f>
        <v>4.8</v>
      </c>
      <c r="J8" s="77">
        <f>IFERROR(VLOOKUP(D8&amp;$J$2&amp;"Total",retroalimenación!D:F,3,0),"")</f>
        <v>4.4849999999999994</v>
      </c>
      <c r="K8" s="77">
        <f>IFERROR(VLOOKUP(B8,seguimiento_salud!B:C,2,0),"")</f>
        <v>3.7</v>
      </c>
      <c r="L8" s="77">
        <f>IFERROR(VLOOKUP(E8&amp;$L$2&amp;"Total",retroalimenación!D:F,3,0),"")</f>
        <v>5</v>
      </c>
      <c r="M8" s="77">
        <f>IFERROR(VLOOKUP(B8,seguimiento_finanzas!B:C,2,0),"")</f>
        <v>4.3</v>
      </c>
      <c r="N8" s="12">
        <f>IFERROR(VLOOKUP(E8&amp;$N$2&amp;"Total",retroalimenación!D:F,3,0),"")</f>
        <v>3.5</v>
      </c>
      <c r="O8" s="54">
        <f>ROUND(SUMPRODUCT(G8:H8,$G$1:$H$1)*4,1)</f>
        <v>4.5</v>
      </c>
      <c r="P8" s="31">
        <f>ROUND(SUMPRODUCT(I8:J8,$I$1:$J$1)*4,1)</f>
        <v>4.5999999999999996</v>
      </c>
      <c r="Q8" s="31">
        <f>ROUND(SUMPRODUCT(K8:L8,$K$1:$L$1)*4,1)</f>
        <v>4.5</v>
      </c>
      <c r="R8" s="88">
        <f>ROUND(SUMPRODUCT(M8:N8,$M$1:$N$1)*4,1)+0.4</f>
        <v>4.2</v>
      </c>
      <c r="S8" s="10"/>
      <c r="T8" s="10">
        <f>VLOOKUP(B8,bonificaciones!B:C,2,0)</f>
        <v>0.4</v>
      </c>
      <c r="U8" s="89"/>
    </row>
    <row r="9" spans="1:23" customFormat="1">
      <c r="A9" s="34" t="s">
        <v>67</v>
      </c>
      <c r="B9" s="34" t="s">
        <v>68</v>
      </c>
      <c r="C9" s="10">
        <v>2</v>
      </c>
      <c r="D9" s="10">
        <v>2</v>
      </c>
      <c r="E9" s="10">
        <v>2</v>
      </c>
      <c r="F9" s="10">
        <v>2</v>
      </c>
      <c r="G9" s="77">
        <f>IFERROR(VLOOKUP(B9,seguimiento_HR!B:J,2,0),"")</f>
        <v>4.5999999999999996</v>
      </c>
      <c r="H9" s="77">
        <f>IFERROR(VLOOKUP(C9&amp;$H$2&amp;"Total",retroalimenación!D:F,3,0),"")</f>
        <v>5</v>
      </c>
      <c r="I9" s="77">
        <f>IFERROR(VLOOKUP(B9,seguimiento_mark!B:C,2,0),"")</f>
        <v>5</v>
      </c>
      <c r="J9" s="77">
        <f>IFERROR(VLOOKUP(D9&amp;$J$2&amp;"Total",retroalimenación!D:F,3,0),"")</f>
        <v>5</v>
      </c>
      <c r="K9" s="77">
        <f>IFERROR(VLOOKUP(B9,seguimiento_salud!B:C,2,0),"")</f>
        <v>5</v>
      </c>
      <c r="L9" s="77">
        <f>IFERROR(VLOOKUP(E9&amp;$L$2&amp;"Total",retroalimenación!D:F,3,0),"")</f>
        <v>5</v>
      </c>
      <c r="M9" s="77">
        <f>IFERROR(VLOOKUP(B9,seguimiento_finanzas!B:C,2,0),"")</f>
        <v>5</v>
      </c>
      <c r="N9" s="12">
        <f>IFERROR(VLOOKUP(E9&amp;$N$2&amp;"Total",retroalimenación!D:F,3,0),"")</f>
        <v>4.6899999999999995</v>
      </c>
      <c r="O9" s="32">
        <f>ROUND(SUMPRODUCT(G9:H9,$G$1:$H$1)*4,1)+0.2</f>
        <v>5</v>
      </c>
      <c r="P9" s="31">
        <f>ROUND(SUMPRODUCT(I9:J9,$I$1:$J$1)*4,1)</f>
        <v>5</v>
      </c>
      <c r="Q9" s="31">
        <f>ROUND(SUMPRODUCT(K9:L9,$K$1:$L$1)*4,1)</f>
        <v>5</v>
      </c>
      <c r="R9" s="88">
        <f>ROUND(SUMPRODUCT(M9:N9,$M$1:$N$1)*4,1)+0.2</f>
        <v>5</v>
      </c>
      <c r="S9" s="10"/>
      <c r="T9" s="10">
        <f>VLOOKUP(B9,bonificaciones!B:C,2,0)</f>
        <v>0.60000000000000009</v>
      </c>
      <c r="U9" s="89"/>
    </row>
    <row r="10" spans="1:23" customFormat="1">
      <c r="A10" s="34" t="s">
        <v>69</v>
      </c>
      <c r="B10" s="34" t="s">
        <v>70</v>
      </c>
      <c r="C10" s="10">
        <v>7</v>
      </c>
      <c r="D10" s="10">
        <v>8</v>
      </c>
      <c r="E10" s="10">
        <v>8</v>
      </c>
      <c r="F10" s="10">
        <v>8</v>
      </c>
      <c r="G10" s="77">
        <f>IFERROR(VLOOKUP(B10,seguimiento_HR!B:J,2,0),"")</f>
        <v>4.5</v>
      </c>
      <c r="H10" s="77">
        <f>IFERROR(VLOOKUP(C10&amp;$H$2&amp;"Total",retroalimenación!D:F,3,0),"")</f>
        <v>3.9000000000000004</v>
      </c>
      <c r="I10" s="77">
        <f>IFERROR(VLOOKUP(B10,seguimiento_mark!B:C,2,0),"")</f>
        <v>2.6</v>
      </c>
      <c r="J10" s="77">
        <f>IFERROR(VLOOKUP(D10&amp;$J$2&amp;"Total",retroalimenación!D:F,3,0),"")</f>
        <v>2.8250000000000002</v>
      </c>
      <c r="K10" s="77">
        <f>IFERROR(VLOOKUP(B10,seguimiento_salud!B:C,2,0),"")</f>
        <v>3.8</v>
      </c>
      <c r="L10" s="77">
        <f>IFERROR(VLOOKUP(E10&amp;$L$2&amp;"Total",retroalimenación!D:F,3,0),"")</f>
        <v>4.1749999999999998</v>
      </c>
      <c r="M10" s="77">
        <f>IFERROR(VLOOKUP(B10,seguimiento_finanzas!B:C,2,0),"")</f>
        <v>0</v>
      </c>
      <c r="N10" s="12">
        <f>IFERROR(VLOOKUP(E10&amp;$N$2&amp;"Total",retroalimenación!D:F,3,0),"")</f>
        <v>5</v>
      </c>
      <c r="O10" s="54">
        <f>ROUND(SUMPRODUCT(G10:H10,$G$1:$H$1)*4,1)</f>
        <v>4.0999999999999996</v>
      </c>
      <c r="P10" s="31">
        <f>ROUND(SUMPRODUCT(I10:J10,$I$1:$J$1)*4,1)</f>
        <v>2.7</v>
      </c>
      <c r="Q10" s="31">
        <f>ROUND(SUMPRODUCT(K10:L10,$K$1:$L$1)*4,1)</f>
        <v>4</v>
      </c>
      <c r="R10" s="85">
        <f>ROUND(SUMPRODUCT(M10:N10,$M$1:$N$1)*4,1)</f>
        <v>3</v>
      </c>
      <c r="S10" s="10"/>
      <c r="T10" s="10">
        <f>VLOOKUP(B10,bonificaciones!B:C,2,0)</f>
        <v>0</v>
      </c>
      <c r="U10" s="89"/>
    </row>
    <row r="11" spans="1:23" customFormat="1">
      <c r="A11" s="34" t="s">
        <v>71</v>
      </c>
      <c r="B11" s="34" t="s">
        <v>72</v>
      </c>
      <c r="C11" s="10">
        <v>1</v>
      </c>
      <c r="D11" s="10">
        <v>1</v>
      </c>
      <c r="E11" s="10">
        <v>1</v>
      </c>
      <c r="F11" s="10">
        <v>1</v>
      </c>
      <c r="G11" s="77">
        <f>IFERROR(VLOOKUP(B11,seguimiento_HR!B:J,2,0),"")</f>
        <v>4.8</v>
      </c>
      <c r="H11" s="77">
        <f>IFERROR(VLOOKUP(C11&amp;$H$2&amp;"Total",retroalimenación!D:F,3,0),"")</f>
        <v>5</v>
      </c>
      <c r="I11" s="77">
        <f>IFERROR(VLOOKUP(B11,seguimiento_mark!B:C,2,0),"")</f>
        <v>5</v>
      </c>
      <c r="J11" s="77">
        <f>IFERROR(VLOOKUP(D11&amp;$J$2&amp;"Total",retroalimenación!D:F,3,0),"")</f>
        <v>5</v>
      </c>
      <c r="K11" s="77">
        <f>IFERROR(VLOOKUP(B11,seguimiento_salud!B:C,2,0),"")</f>
        <v>4.9000000000000004</v>
      </c>
      <c r="L11" s="77">
        <f>IFERROR(VLOOKUP(E11&amp;$L$2&amp;"Total",retroalimenación!D:F,3,0),"")</f>
        <v>5</v>
      </c>
      <c r="M11" s="77">
        <f>IFERROR(VLOOKUP(B11,seguimiento_finanzas!B:C,2,0),"")</f>
        <v>4.9000000000000004</v>
      </c>
      <c r="N11" s="12">
        <f>IFERROR(VLOOKUP(E11&amp;$N$2&amp;"Total",retroalimenación!D:F,3,0),"")</f>
        <v>5</v>
      </c>
      <c r="O11" s="32">
        <f>ROUND(SUMPRODUCT(G11:H11,$G$1:$H$1)*4,1)+0.1</f>
        <v>5</v>
      </c>
      <c r="P11" s="31">
        <f>ROUND(SUMPRODUCT(I11:J11,$I$1:$J$1)*4,1)</f>
        <v>5</v>
      </c>
      <c r="Q11" s="31">
        <f>ROUND(SUMPRODUCT(K11:L11,$K$1:$L$1)*4,1)</f>
        <v>5</v>
      </c>
      <c r="R11" s="85">
        <f>ROUND(SUMPRODUCT(M11:N11,$M$1:$N$1)*4,1)</f>
        <v>5</v>
      </c>
      <c r="S11" s="10"/>
      <c r="T11" s="10">
        <f>VLOOKUP(B11,bonificaciones!B:C,2,0)</f>
        <v>0.2</v>
      </c>
      <c r="U11" s="89"/>
    </row>
    <row r="12" spans="1:23" customFormat="1" hidden="1">
      <c r="A12" s="34" t="s">
        <v>73</v>
      </c>
      <c r="B12" s="34" t="s">
        <v>74</v>
      </c>
      <c r="C12" s="10">
        <v>4</v>
      </c>
      <c r="D12" s="10">
        <v>4</v>
      </c>
      <c r="E12" s="10">
        <v>4</v>
      </c>
      <c r="F12" s="10">
        <v>4</v>
      </c>
      <c r="G12" s="77">
        <v>4.5</v>
      </c>
      <c r="H12" s="77">
        <f>IFERROR(VLOOKUP(C12&amp;$H$2&amp;"Total",retroalimenación!D:F,3,0),"")</f>
        <v>4.6050000000000004</v>
      </c>
      <c r="I12" s="77">
        <f>IFERROR(VLOOKUP(B12,seguimiento_mark!B:C,2,0),"")</f>
        <v>4.5999999999999996</v>
      </c>
      <c r="J12" s="77">
        <f>IFERROR(VLOOKUP(D12&amp;$J$2&amp;"Total",retroalimenación!D:F,3,0),"")</f>
        <v>5</v>
      </c>
      <c r="K12" s="77">
        <v>4.5</v>
      </c>
      <c r="L12" s="77">
        <f>IFERROR(VLOOKUP(E12&amp;$L$2&amp;"Total",retroalimenación!D:F,3,0),"")</f>
        <v>5</v>
      </c>
      <c r="M12" s="77">
        <v>4.5</v>
      </c>
      <c r="N12" s="12">
        <f>IFERROR(VLOOKUP(E12&amp;$N$2&amp;"Total",retroalimenación!D:F,3,0),"")</f>
        <v>4.6499999999999995</v>
      </c>
      <c r="O12" s="54">
        <f>ROUND(SUMPRODUCT(G12:H12,$G$1:$H$1)*4,1)</f>
        <v>4.5999999999999996</v>
      </c>
      <c r="P12" s="31">
        <f>ROUND(SUMPRODUCT(I12:J12,$I$1:$J$1)*4,1)</f>
        <v>4.8</v>
      </c>
      <c r="Q12" s="31">
        <f>ROUND(SUMPRODUCT(K12:L12,$K$1:$L$1)*4,1)</f>
        <v>4.8</v>
      </c>
      <c r="R12" s="88">
        <f>ROUND(SUMPRODUCT(M12:N12,$M$1:$N$1)*4,1)+0.2</f>
        <v>4.8</v>
      </c>
      <c r="S12" s="10" t="s">
        <v>109</v>
      </c>
      <c r="T12" s="10">
        <f>VLOOKUP(B12,bonificaciones!B:C,2,0)</f>
        <v>0.2</v>
      </c>
      <c r="U12" s="89"/>
    </row>
    <row r="13" spans="1:23" customFormat="1">
      <c r="A13" s="34" t="s">
        <v>76</v>
      </c>
      <c r="B13" s="34" t="s">
        <v>77</v>
      </c>
      <c r="C13" s="10">
        <v>7</v>
      </c>
      <c r="D13" s="10">
        <v>7</v>
      </c>
      <c r="E13" s="10">
        <v>7</v>
      </c>
      <c r="F13" s="10">
        <v>7</v>
      </c>
      <c r="G13" s="77">
        <f>IFERROR(VLOOKUP(B13,seguimiento_HR!B:J,2,0),"")</f>
        <v>4.5</v>
      </c>
      <c r="H13" s="77">
        <f>IFERROR(VLOOKUP(C13&amp;$H$2&amp;"Total",retroalimenación!D:F,3,0),"")</f>
        <v>3.9000000000000004</v>
      </c>
      <c r="I13" s="77">
        <f>IFERROR(VLOOKUP(B13,seguimiento_mark!B:C,2,0),"")</f>
        <v>3.8</v>
      </c>
      <c r="J13" s="77">
        <f>IFERROR(VLOOKUP(D13&amp;$J$2&amp;"Total",retroalimenación!D:F,3,0),"")</f>
        <v>4.22</v>
      </c>
      <c r="K13" s="77">
        <f>IFERROR(VLOOKUP(B13,seguimiento_salud!B:C,2,0),"")</f>
        <v>2.8</v>
      </c>
      <c r="L13" s="77">
        <f>IFERROR(VLOOKUP(E13&amp;$L$2&amp;"Total",retroalimenación!D:F,3,0),"")</f>
        <v>4.3250000000000002</v>
      </c>
      <c r="M13" s="77">
        <f>IFERROR(VLOOKUP(B13,seguimiento_finanzas!B:C,2,0),"")</f>
        <v>4.4000000000000004</v>
      </c>
      <c r="N13" s="12">
        <f>IFERROR(VLOOKUP(E13&amp;$N$2&amp;"Total",retroalimenación!D:F,3,0),"")</f>
        <v>3.25</v>
      </c>
      <c r="O13" s="54">
        <f>ROUND(SUMPRODUCT(G13:H13,$G$1:$H$1)*4,1)</f>
        <v>4.0999999999999996</v>
      </c>
      <c r="P13" s="31">
        <f>ROUND(SUMPRODUCT(I13:J13,$I$1:$J$1)*4,1)</f>
        <v>4.0999999999999996</v>
      </c>
      <c r="Q13" s="31">
        <f>ROUND(SUMPRODUCT(K13:L13,$K$1:$L$1)*4,1)</f>
        <v>3.7</v>
      </c>
      <c r="R13" s="85">
        <f>ROUND(SUMPRODUCT(M13:N13,$M$1:$N$1)*4,1)</f>
        <v>3.7</v>
      </c>
      <c r="S13" s="10"/>
      <c r="T13" s="10">
        <f>VLOOKUP(B13,bonificaciones!B:C,2,0)</f>
        <v>0</v>
      </c>
      <c r="U13" s="89"/>
    </row>
    <row r="14" spans="1:23" customFormat="1">
      <c r="A14" s="34" t="s">
        <v>78</v>
      </c>
      <c r="B14" s="34" t="s">
        <v>79</v>
      </c>
      <c r="C14" s="10">
        <v>2</v>
      </c>
      <c r="D14" s="10">
        <v>2</v>
      </c>
      <c r="E14" s="10">
        <v>2</v>
      </c>
      <c r="F14" s="10">
        <v>2</v>
      </c>
      <c r="G14" s="77">
        <f>IFERROR(VLOOKUP(B14,seguimiento_HR!B:J,2,0),"")</f>
        <v>4.7</v>
      </c>
      <c r="H14" s="77">
        <f>IFERROR(VLOOKUP(C14&amp;$H$2&amp;"Total",retroalimenación!D:F,3,0),"")</f>
        <v>5</v>
      </c>
      <c r="I14" s="77">
        <f>IFERROR(VLOOKUP(B14,seguimiento_mark!B:C,2,0),"")</f>
        <v>4</v>
      </c>
      <c r="J14" s="77">
        <f>IFERROR(VLOOKUP(D14&amp;$J$2&amp;"Total",retroalimenación!D:F,3,0),"")</f>
        <v>5</v>
      </c>
      <c r="K14" s="77">
        <f>IFERROR(VLOOKUP(B14,seguimiento_salud!B:C,2,0),"")</f>
        <v>4</v>
      </c>
      <c r="L14" s="77">
        <f>IFERROR(VLOOKUP(E14&amp;$L$2&amp;"Total",retroalimenación!D:F,3,0),"")</f>
        <v>5</v>
      </c>
      <c r="M14" s="77">
        <f>IFERROR(VLOOKUP(B14,seguimiento_finanzas!B:C,2,0),"")</f>
        <v>4.8</v>
      </c>
      <c r="N14" s="12">
        <f>IFERROR(VLOOKUP(E14&amp;$N$2&amp;"Total",retroalimenación!D:F,3,0),"")</f>
        <v>4.6899999999999995</v>
      </c>
      <c r="O14" s="54">
        <f>ROUND(SUMPRODUCT(G14:H14,$G$1:$H$1)*4,1)</f>
        <v>4.9000000000000004</v>
      </c>
      <c r="P14" s="31">
        <f>ROUND(SUMPRODUCT(I14:J14,$I$1:$J$1)*4,1)</f>
        <v>4.5999999999999996</v>
      </c>
      <c r="Q14" s="31">
        <f>ROUND(SUMPRODUCT(K14:L14,$K$1:$L$1)*4,1)</f>
        <v>4.5999999999999996</v>
      </c>
      <c r="R14" s="85">
        <f>ROUND(SUMPRODUCT(M14:N14,$M$1:$N$1)*4,1)</f>
        <v>4.7</v>
      </c>
      <c r="S14" s="10"/>
      <c r="T14" s="10">
        <f>VLOOKUP(B14,bonificaciones!B:C,2,0)</f>
        <v>0</v>
      </c>
      <c r="U14" s="89"/>
    </row>
    <row r="15" spans="1:23" customFormat="1">
      <c r="A15" s="34" t="s">
        <v>80</v>
      </c>
      <c r="B15" s="34" t="s">
        <v>81</v>
      </c>
      <c r="C15" s="10">
        <v>5</v>
      </c>
      <c r="D15" s="10">
        <v>5</v>
      </c>
      <c r="E15" s="10">
        <v>5</v>
      </c>
      <c r="F15" s="10">
        <v>5</v>
      </c>
      <c r="G15" s="77">
        <f>IFERROR(VLOOKUP(B15,seguimiento_HR!B:J,2,0),"")</f>
        <v>4.8</v>
      </c>
      <c r="H15" s="77">
        <f>IFERROR(VLOOKUP(C15&amp;$H$2&amp;"Total",retroalimenación!D:F,3,0),"")</f>
        <v>5</v>
      </c>
      <c r="I15" s="77">
        <f>IFERROR(VLOOKUP(B15,seguimiento_mark!B:C,2,0),"")</f>
        <v>3</v>
      </c>
      <c r="J15" s="77">
        <f>IFERROR(VLOOKUP(D15&amp;$J$2&amp;"Total",retroalimenación!D:F,3,0),"")</f>
        <v>4.2749999999999995</v>
      </c>
      <c r="K15" s="77">
        <f>IFERROR(VLOOKUP(B15,seguimiento_salud!B:C,2,0),"")</f>
        <v>4.8</v>
      </c>
      <c r="L15" s="77">
        <f>IFERROR(VLOOKUP(E15&amp;$L$2&amp;"Total",retroalimenación!D:F,3,0),"")</f>
        <v>5</v>
      </c>
      <c r="M15" s="77">
        <f>IFERROR(VLOOKUP(B15,seguimiento_finanzas!B:C,2,0),"")</f>
        <v>3.8</v>
      </c>
      <c r="N15" s="12">
        <f>IFERROR(VLOOKUP(E15&amp;$N$2&amp;"Total",retroalimenación!D:F,3,0),"")</f>
        <v>5</v>
      </c>
      <c r="O15" s="54">
        <f>ROUND(SUMPRODUCT(G15:H15,$G$1:$H$1)*4,1)</f>
        <v>4.9000000000000004</v>
      </c>
      <c r="P15" s="31">
        <f>ROUND(SUMPRODUCT(I15:J15,$I$1:$J$1)*4,1)</f>
        <v>3.8</v>
      </c>
      <c r="Q15" s="31">
        <f>ROUND(SUMPRODUCT(K15:L15,$K$1:$L$1)*4,1)</f>
        <v>4.9000000000000004</v>
      </c>
      <c r="R15" s="85">
        <f>ROUND(SUMPRODUCT(M15:N15,$M$1:$N$1)*4,1)</f>
        <v>4.5</v>
      </c>
      <c r="S15" s="10" t="s">
        <v>109</v>
      </c>
      <c r="T15" s="10">
        <f>VLOOKUP(B15,bonificaciones!B:C,2,0)</f>
        <v>0</v>
      </c>
      <c r="U15" s="89"/>
    </row>
    <row r="16" spans="1:23" customFormat="1">
      <c r="A16" s="34" t="s">
        <v>82</v>
      </c>
      <c r="B16" s="34" t="s">
        <v>83</v>
      </c>
      <c r="C16" s="10">
        <v>3</v>
      </c>
      <c r="D16" s="10">
        <v>3</v>
      </c>
      <c r="E16" s="10">
        <v>3</v>
      </c>
      <c r="F16" s="10">
        <v>3</v>
      </c>
      <c r="G16" s="77">
        <f>IFERROR(VLOOKUP(B16,seguimiento_HR!B:J,2,0),"")</f>
        <v>4.5</v>
      </c>
      <c r="H16" s="77">
        <f>IFERROR(VLOOKUP(C16&amp;$H$2&amp;"Total",retroalimenación!D:F,3,0),"")</f>
        <v>4.4850000000000003</v>
      </c>
      <c r="I16" s="77">
        <f>IFERROR(VLOOKUP(B16,seguimiento_mark!B:C,2,0),"")</f>
        <v>3.8</v>
      </c>
      <c r="J16" s="77">
        <f>IFERROR(VLOOKUP(D16&amp;$J$2&amp;"Total",retroalimenación!D:F,3,0),"")</f>
        <v>4.4849999999999994</v>
      </c>
      <c r="K16" s="77">
        <f>IFERROR(VLOOKUP(B16,seguimiento_salud!B:C,2,0),"")</f>
        <v>3.7</v>
      </c>
      <c r="L16" s="77">
        <f>IFERROR(VLOOKUP(E16&amp;$L$2&amp;"Total",retroalimenación!D:F,3,0),"")</f>
        <v>5</v>
      </c>
      <c r="M16" s="77">
        <f>IFERROR(VLOOKUP(B16,seguimiento_finanzas!B:C,2,0),"")</f>
        <v>1.9</v>
      </c>
      <c r="N16" s="12">
        <f>IFERROR(VLOOKUP(E16&amp;$N$2&amp;"Total",retroalimenación!D:F,3,0),"")</f>
        <v>3.5</v>
      </c>
      <c r="O16" s="54">
        <f>ROUND(SUMPRODUCT(G16:H16,$G$1:$H$1)*4,1)</f>
        <v>4.5</v>
      </c>
      <c r="P16" s="31">
        <f>ROUND(SUMPRODUCT(I16:J16,$I$1:$J$1)*4,1)</f>
        <v>4.2</v>
      </c>
      <c r="Q16" s="31">
        <f>ROUND(SUMPRODUCT(K16:L16,$K$1:$L$1)*4,1)</f>
        <v>4.5</v>
      </c>
      <c r="R16" s="85">
        <f>ROUND(SUMPRODUCT(M16:N16,$M$1:$N$1)*4,1)</f>
        <v>2.9</v>
      </c>
      <c r="S16" s="10"/>
      <c r="T16" s="10">
        <f>VLOOKUP(B16,bonificaciones!B:C,2,0)</f>
        <v>0</v>
      </c>
      <c r="U16" s="89"/>
    </row>
    <row r="17" spans="1:21" customFormat="1" hidden="1">
      <c r="A17" s="34" t="s">
        <v>84</v>
      </c>
      <c r="B17" s="34" t="s">
        <v>85</v>
      </c>
      <c r="C17" s="10">
        <v>8</v>
      </c>
      <c r="D17" s="10">
        <v>8</v>
      </c>
      <c r="E17" s="10">
        <v>8</v>
      </c>
      <c r="F17" s="10">
        <v>8</v>
      </c>
      <c r="G17" s="77">
        <v>4.4000000000000004</v>
      </c>
      <c r="H17" s="77">
        <f>IFERROR(VLOOKUP(C17&amp;$H$2&amp;"Total",retroalimenación!D:F,3,0),"")</f>
        <v>3.7749999999999995</v>
      </c>
      <c r="I17" s="77">
        <v>4.4000000000000004</v>
      </c>
      <c r="J17" s="77">
        <f>IFERROR(VLOOKUP(D17&amp;$J$2&amp;"Total",retroalimenación!D:F,3,0),"")</f>
        <v>2.8250000000000002</v>
      </c>
      <c r="K17" s="77">
        <v>4.4000000000000004</v>
      </c>
      <c r="L17" s="77">
        <f>IFERROR(VLOOKUP(E17&amp;$L$2&amp;"Total",retroalimenación!D:F,3,0),"")</f>
        <v>4.1749999999999998</v>
      </c>
      <c r="M17" s="77">
        <v>4.4000000000000004</v>
      </c>
      <c r="N17" s="12">
        <f>IFERROR(VLOOKUP(E17&amp;$N$2&amp;"Total",retroalimenación!D:F,3,0),"")</f>
        <v>5</v>
      </c>
      <c r="O17" s="54">
        <f>ROUND(SUMPRODUCT(G17:H17,$G$1:$H$1)*4,1)</f>
        <v>4</v>
      </c>
      <c r="P17" s="31">
        <f>ROUND(SUMPRODUCT(I17:J17,$I$1:$J$1)*4,1)</f>
        <v>3.5</v>
      </c>
      <c r="Q17" s="31">
        <f>ROUND(SUMPRODUCT(K17:L17,$K$1:$L$1)*4,1)</f>
        <v>4.3</v>
      </c>
      <c r="R17" s="85">
        <f>ROUND(SUMPRODUCT(M17:N17,$M$1:$N$1)*4,1)</f>
        <v>4.8</v>
      </c>
      <c r="S17" s="10" t="s">
        <v>109</v>
      </c>
      <c r="T17" s="10">
        <f>VLOOKUP(B17,bonificaciones!B:C,2,0)</f>
        <v>0</v>
      </c>
      <c r="U17" s="89"/>
    </row>
    <row r="18" spans="1:21" customFormat="1">
      <c r="A18" s="34" t="s">
        <v>86</v>
      </c>
      <c r="B18" s="34" t="s">
        <v>87</v>
      </c>
      <c r="C18" s="10">
        <v>7</v>
      </c>
      <c r="D18" s="10">
        <v>7</v>
      </c>
      <c r="E18" s="10">
        <v>7</v>
      </c>
      <c r="F18" s="10">
        <v>7</v>
      </c>
      <c r="G18" s="77">
        <f>IFERROR(VLOOKUP(B18,seguimiento_HR!B:J,2,0),"")</f>
        <v>4.3</v>
      </c>
      <c r="H18" s="77">
        <f>IFERROR(VLOOKUP(C18&amp;$H$2&amp;"Total",retroalimenación!D:F,3,0),"")</f>
        <v>3.9000000000000004</v>
      </c>
      <c r="I18" s="77">
        <f>IFERROR(VLOOKUP(B18,seguimiento_mark!B:C,2,0),"")</f>
        <v>3.8</v>
      </c>
      <c r="J18" s="77">
        <f>IFERROR(VLOOKUP(D18&amp;$J$2&amp;"Total",retroalimenación!D:F,3,0),"")</f>
        <v>4.22</v>
      </c>
      <c r="K18" s="77">
        <f>IFERROR(VLOOKUP(B18,seguimiento_salud!B:C,2,0),"")</f>
        <v>4.8</v>
      </c>
      <c r="L18" s="77">
        <f>IFERROR(VLOOKUP(E18&amp;$L$2&amp;"Total",retroalimenación!D:F,3,0),"")</f>
        <v>4.3250000000000002</v>
      </c>
      <c r="M18" s="77">
        <f>IFERROR(VLOOKUP(B18,seguimiento_finanzas!B:C,2,0),"")</f>
        <v>4.5</v>
      </c>
      <c r="N18" s="12">
        <f>IFERROR(VLOOKUP(E18&amp;$N$2&amp;"Total",retroalimenación!D:F,3,0),"")</f>
        <v>3.25</v>
      </c>
      <c r="O18" s="54">
        <f>ROUND(SUMPRODUCT(G18:H18,$G$1:$H$1)*4,1)</f>
        <v>4.0999999999999996</v>
      </c>
      <c r="P18" s="31">
        <f>ROUND(SUMPRODUCT(I18:J18,$I$1:$J$1)*4,1)</f>
        <v>4.0999999999999996</v>
      </c>
      <c r="Q18" s="31">
        <f>ROUND(SUMPRODUCT(K18:L18,$K$1:$L$1)*4,1)</f>
        <v>4.5</v>
      </c>
      <c r="R18" s="88">
        <f>ROUND(SUMPRODUCT(M18:N18,$M$1:$N$1)*4,1)+0.4</f>
        <v>4.2</v>
      </c>
      <c r="S18" s="10"/>
      <c r="T18" s="10">
        <f>VLOOKUP(B18,bonificaciones!B:C,2,0)</f>
        <v>0.4</v>
      </c>
      <c r="U18" s="89"/>
    </row>
    <row r="19" spans="1:21" customFormat="1">
      <c r="A19" s="34" t="s">
        <v>88</v>
      </c>
      <c r="B19" s="34" t="s">
        <v>89</v>
      </c>
      <c r="C19" s="10">
        <v>6</v>
      </c>
      <c r="D19" s="10">
        <v>7</v>
      </c>
      <c r="E19" s="10">
        <v>7</v>
      </c>
      <c r="F19" s="10">
        <v>7</v>
      </c>
      <c r="G19" s="77">
        <f>IFERROR(VLOOKUP(B19,seguimiento_HR!B:J,2,0),"")</f>
        <v>4.3</v>
      </c>
      <c r="H19" s="77">
        <f>IFERROR(VLOOKUP(C19&amp;$H$2&amp;"Total",retroalimenación!D:F,3,0),"")</f>
        <v>4.33</v>
      </c>
      <c r="I19" s="77">
        <f>IFERROR(VLOOKUP(B19,seguimiento_mark!B:C,2,0),"")</f>
        <v>3.8</v>
      </c>
      <c r="J19" s="77">
        <f>IFERROR(VLOOKUP(D19&amp;$J$2&amp;"Total",retroalimenación!D:F,3,0),"")</f>
        <v>4.22</v>
      </c>
      <c r="K19" s="77">
        <f>IFERROR(VLOOKUP(B19,seguimiento_salud!B:C,2,0),"")</f>
        <v>3.8</v>
      </c>
      <c r="L19" s="77">
        <f>IFERROR(VLOOKUP(E19&amp;$L$2&amp;"Total",retroalimenación!D:F,3,0),"")</f>
        <v>4.3250000000000002</v>
      </c>
      <c r="M19" s="77">
        <f>IFERROR(VLOOKUP(B19,seguimiento_finanzas!B:C,2,0),"")</f>
        <v>3.3</v>
      </c>
      <c r="N19" s="12">
        <f>IFERROR(VLOOKUP(E19&amp;$N$2&amp;"Total",retroalimenación!D:F,3,0),"")</f>
        <v>3.25</v>
      </c>
      <c r="O19" s="54">
        <f>ROUND(SUMPRODUCT(G19:H19,$G$1:$H$1)*4,1)</f>
        <v>4.3</v>
      </c>
      <c r="P19" s="31">
        <f>ROUND(SUMPRODUCT(I19:J19,$I$1:$J$1)*4,1)</f>
        <v>4.0999999999999996</v>
      </c>
      <c r="Q19" s="31">
        <f>ROUND(SUMPRODUCT(K19:L19,$K$1:$L$1)*4,1)</f>
        <v>4.0999999999999996</v>
      </c>
      <c r="R19" s="85">
        <f>ROUND(SUMPRODUCT(M19:N19,$M$1:$N$1)*4,1)</f>
        <v>3.3</v>
      </c>
      <c r="S19" s="10"/>
      <c r="T19" s="10">
        <f>VLOOKUP(B19,bonificaciones!B:C,2,0)</f>
        <v>0</v>
      </c>
      <c r="U19" s="89"/>
    </row>
    <row r="20" spans="1:21" customFormat="1">
      <c r="A20" s="34" t="s">
        <v>90</v>
      </c>
      <c r="B20" s="34" t="s">
        <v>91</v>
      </c>
      <c r="C20" s="10">
        <v>3</v>
      </c>
      <c r="D20" s="10">
        <v>3</v>
      </c>
      <c r="E20" s="10">
        <v>3</v>
      </c>
      <c r="F20" s="10">
        <v>3</v>
      </c>
      <c r="G20" s="77">
        <f>IFERROR(VLOOKUP(B20,seguimiento_HR!B:J,2,0),"")</f>
        <v>3</v>
      </c>
      <c r="H20" s="77">
        <f>IFERROR(VLOOKUP(C20&amp;$H$2&amp;"Total",retroalimenación!D:F,3,0),"")</f>
        <v>4.4850000000000003</v>
      </c>
      <c r="I20" s="77">
        <f>IFERROR(VLOOKUP(B20,seguimiento_mark!B:C,2,0),"")</f>
        <v>2.8</v>
      </c>
      <c r="J20" s="77">
        <f>IFERROR(VLOOKUP(D20&amp;$J$2&amp;"Total",retroalimenación!D:F,3,0),"")</f>
        <v>4.4849999999999994</v>
      </c>
      <c r="K20" s="77">
        <f>IFERROR(VLOOKUP(B20,seguimiento_salud!B:C,2,0),"")</f>
        <v>4.7</v>
      </c>
      <c r="L20" s="77">
        <f>IFERROR(VLOOKUP(E20&amp;$L$2&amp;"Total",retroalimenación!D:F,3,0),"")</f>
        <v>5</v>
      </c>
      <c r="M20" s="77">
        <f>IFERROR(VLOOKUP(B20,seguimiento_finanzas!B:C,2,0),"")</f>
        <v>1.9</v>
      </c>
      <c r="N20" s="12">
        <f>IFERROR(VLOOKUP(E20&amp;$N$2&amp;"Total",retroalimenación!D:F,3,0),"")</f>
        <v>3.5</v>
      </c>
      <c r="O20" s="54">
        <f>ROUND(SUMPRODUCT(G20:H20,$G$1:$H$1)*4,1)</f>
        <v>3.9</v>
      </c>
      <c r="P20" s="31">
        <f>ROUND(SUMPRODUCT(I20:J20,$I$1:$J$1)*4,1)</f>
        <v>3.8</v>
      </c>
      <c r="Q20" s="31">
        <f>ROUND(SUMPRODUCT(K20:L20,$K$1:$L$1)*4,1)</f>
        <v>4.9000000000000004</v>
      </c>
      <c r="R20" s="85">
        <f>ROUND(SUMPRODUCT(M20:N20,$M$1:$N$1)*4,1)</f>
        <v>2.9</v>
      </c>
      <c r="S20" s="10"/>
      <c r="T20" s="10">
        <f>VLOOKUP(B20,bonificaciones!B:C,2,0)</f>
        <v>0</v>
      </c>
      <c r="U20" s="89"/>
    </row>
    <row r="21" spans="1:21" customFormat="1" hidden="1">
      <c r="A21" s="34" t="s">
        <v>92</v>
      </c>
      <c r="B21" s="34" t="s">
        <v>93</v>
      </c>
      <c r="C21" s="10">
        <v>4</v>
      </c>
      <c r="D21" s="10">
        <v>4</v>
      </c>
      <c r="E21" s="10">
        <v>4</v>
      </c>
      <c r="F21" s="10">
        <v>4</v>
      </c>
      <c r="G21" s="77">
        <f>IFERROR(VLOOKUP(B21,seguimiento_HR!B:J,2,0),"")</f>
        <v>4.4000000000000004</v>
      </c>
      <c r="H21" s="77">
        <f>IFERROR(VLOOKUP(C21&amp;$H$2&amp;"Total",retroalimenación!D:F,3,0),"")</f>
        <v>4.6050000000000004</v>
      </c>
      <c r="I21" s="77">
        <f>IFERROR(VLOOKUP(B21,seguimiento_mark!B:C,2,0),"")</f>
        <v>3.9</v>
      </c>
      <c r="J21" s="77">
        <f>IFERROR(VLOOKUP(D21&amp;$J$2&amp;"Total",retroalimenación!D:F,3,0),"")</f>
        <v>5</v>
      </c>
      <c r="K21" s="77">
        <f>IFERROR(VLOOKUP(B21,seguimiento_salud!B:C,2,0),"")</f>
        <v>4.8</v>
      </c>
      <c r="L21" s="77">
        <f>IFERROR(VLOOKUP(E21&amp;$L$2&amp;"Total",retroalimenación!D:F,3,0),"")</f>
        <v>5</v>
      </c>
      <c r="M21" s="77">
        <f>IFERROR(VLOOKUP(B21,seguimiento_finanzas!B:C,2,0),"")</f>
        <v>2.4</v>
      </c>
      <c r="N21" s="12">
        <f>IFERROR(VLOOKUP(E21&amp;$N$2&amp;"Total",retroalimenación!D:F,3,0),"")</f>
        <v>4.6499999999999995</v>
      </c>
      <c r="O21" s="54">
        <f>ROUND(SUMPRODUCT(G21:H21,$G$1:$H$1)*4,1)</f>
        <v>4.5</v>
      </c>
      <c r="P21" s="31">
        <f>ROUND(SUMPRODUCT(I21:J21,$I$1:$J$1)*4,1)</f>
        <v>4.5999999999999996</v>
      </c>
      <c r="Q21" s="31">
        <f>ROUND(SUMPRODUCT(K21:L21,$K$1:$L$1)*4,1)</f>
        <v>4.9000000000000004</v>
      </c>
      <c r="R21" s="85">
        <f>ROUND(SUMPRODUCT(M21:N21,$M$1:$N$1)*4,1)</f>
        <v>3.8</v>
      </c>
      <c r="S21" s="10"/>
      <c r="T21" s="10">
        <f>VLOOKUP(B21,bonificaciones!B:C,2,0)</f>
        <v>0</v>
      </c>
      <c r="U21" s="89"/>
    </row>
    <row r="22" spans="1:21" customFormat="1" hidden="1">
      <c r="A22" s="34" t="s">
        <v>94</v>
      </c>
      <c r="B22" s="34" t="s">
        <v>95</v>
      </c>
      <c r="C22" s="10">
        <v>4</v>
      </c>
      <c r="D22" s="10">
        <v>4</v>
      </c>
      <c r="E22" s="10">
        <v>4</v>
      </c>
      <c r="F22" s="10">
        <v>4</v>
      </c>
      <c r="G22" s="77">
        <v>5</v>
      </c>
      <c r="H22" s="77">
        <f>IFERROR(VLOOKUP(C22&amp;$H$2&amp;"Total",retroalimenación!D:F,3,0),"")</f>
        <v>4.6050000000000004</v>
      </c>
      <c r="I22" s="77">
        <v>5</v>
      </c>
      <c r="J22" s="77">
        <f>IFERROR(VLOOKUP(D22&amp;$J$2&amp;"Total",retroalimenación!D:F,3,0),"")</f>
        <v>5</v>
      </c>
      <c r="K22" s="77">
        <v>5</v>
      </c>
      <c r="L22" s="77">
        <f>IFERROR(VLOOKUP(E22&amp;$L$2&amp;"Total",retroalimenación!D:F,3,0),"")</f>
        <v>5</v>
      </c>
      <c r="M22" s="77">
        <v>5</v>
      </c>
      <c r="N22" s="12">
        <f>IFERROR(VLOOKUP(E22&amp;$N$2&amp;"Total",retroalimenación!D:F,3,0),"")</f>
        <v>4.6499999999999995</v>
      </c>
      <c r="O22" s="32">
        <f>ROUND(SUMPRODUCT(G22:H22,$G$1:$H$1)*4,1)+0.2</f>
        <v>5</v>
      </c>
      <c r="P22" s="31">
        <f>ROUND(SUMPRODUCT(I22:J22,$I$1:$J$1)*4,1)</f>
        <v>5</v>
      </c>
      <c r="Q22" s="31">
        <f>ROUND(SUMPRODUCT(K22:L22,$K$1:$L$1)*4,1)</f>
        <v>5</v>
      </c>
      <c r="R22" s="88">
        <f>ROUND(SUMPRODUCT(M22:N22,$M$1:$N$1)*4,1)+0.2</f>
        <v>5</v>
      </c>
      <c r="S22" s="10" t="s">
        <v>109</v>
      </c>
      <c r="T22" s="10">
        <f>VLOOKUP(B22,bonificaciones!B:C,2,0)</f>
        <v>1</v>
      </c>
      <c r="U22" s="89"/>
    </row>
    <row r="23" spans="1:21" customFormat="1">
      <c r="A23" s="34" t="s">
        <v>96</v>
      </c>
      <c r="B23" s="34" t="s">
        <v>97</v>
      </c>
      <c r="C23" s="10">
        <v>2</v>
      </c>
      <c r="D23" s="10">
        <v>2</v>
      </c>
      <c r="E23" s="10">
        <v>2</v>
      </c>
      <c r="F23" s="10">
        <v>2</v>
      </c>
      <c r="G23" s="77">
        <f>IFERROR(VLOOKUP(B23,seguimiento_HR!B:J,2,0),"")</f>
        <v>4.7</v>
      </c>
      <c r="H23" s="77">
        <f>IFERROR(VLOOKUP(C23&amp;$H$2&amp;"Total",retroalimenación!D:F,3,0),"")</f>
        <v>5</v>
      </c>
      <c r="I23" s="77">
        <f>IFERROR(VLOOKUP(B23,seguimiento_mark!B:C,2,0),"")</f>
        <v>5</v>
      </c>
      <c r="J23" s="77">
        <f>IFERROR(VLOOKUP(D23&amp;$J$2&amp;"Total",retroalimenación!D:F,3,0),"")</f>
        <v>5</v>
      </c>
      <c r="K23" s="77">
        <f>IFERROR(VLOOKUP(B23,seguimiento_salud!B:C,2,0),"")</f>
        <v>5</v>
      </c>
      <c r="L23" s="77">
        <f>IFERROR(VLOOKUP(E23&amp;$L$2&amp;"Total",retroalimenación!D:F,3,0),"")</f>
        <v>5</v>
      </c>
      <c r="M23" s="77">
        <f>IFERROR(VLOOKUP(B23,seguimiento_finanzas!B:C,2,0),"")</f>
        <v>5</v>
      </c>
      <c r="N23" s="12">
        <f>IFERROR(VLOOKUP(E23&amp;$N$2&amp;"Total",retroalimenación!D:F,3,0),"")</f>
        <v>4.6899999999999995</v>
      </c>
      <c r="O23" s="32">
        <f>ROUND(SUMPRODUCT(G23:H23,$G$1:$H$1)*4,1)+0.1</f>
        <v>5</v>
      </c>
      <c r="P23" s="31">
        <f>ROUND(SUMPRODUCT(I23:J23,$I$1:$J$1)*4,1)</f>
        <v>5</v>
      </c>
      <c r="Q23" s="31">
        <f>ROUND(SUMPRODUCT(K23:L23,$K$1:$L$1)*4,1)</f>
        <v>5</v>
      </c>
      <c r="R23" s="88">
        <f>ROUND(SUMPRODUCT(M23:N23,$M$1:$N$1)*4,1)+0.2</f>
        <v>5</v>
      </c>
      <c r="S23" s="10"/>
      <c r="T23" s="10">
        <f>VLOOKUP(B23,bonificaciones!B:C,2,0)</f>
        <v>0.4</v>
      </c>
      <c r="U23" s="89"/>
    </row>
    <row r="24" spans="1:21" customFormat="1">
      <c r="A24" s="34" t="s">
        <v>98</v>
      </c>
      <c r="B24" s="34" t="s">
        <v>99</v>
      </c>
      <c r="C24" s="10">
        <v>1</v>
      </c>
      <c r="D24" s="10">
        <v>1</v>
      </c>
      <c r="E24" s="10">
        <v>1</v>
      </c>
      <c r="F24" s="10">
        <v>1</v>
      </c>
      <c r="G24" s="77">
        <f>IFERROR(VLOOKUP(B24,seguimiento_HR!B:J,2,0),"")</f>
        <v>4.5999999999999996</v>
      </c>
      <c r="H24" s="77">
        <f>IFERROR(VLOOKUP(C24&amp;$H$2&amp;"Total",retroalimenación!D:F,3,0),"")</f>
        <v>5</v>
      </c>
      <c r="I24" s="77">
        <f>IFERROR(VLOOKUP(B24,seguimiento_mark!B:C,2,0),"")</f>
        <v>4</v>
      </c>
      <c r="J24" s="77">
        <f>IFERROR(VLOOKUP(D24&amp;$J$2&amp;"Total",retroalimenación!D:F,3,0),"")</f>
        <v>5</v>
      </c>
      <c r="K24" s="77">
        <f>IFERROR(VLOOKUP(B24,seguimiento_salud!B:C,2,0),"")</f>
        <v>4.9000000000000004</v>
      </c>
      <c r="L24" s="77">
        <f>IFERROR(VLOOKUP(E24&amp;$L$2&amp;"Total",retroalimenación!D:F,3,0),"")</f>
        <v>5</v>
      </c>
      <c r="M24" s="77">
        <f>IFERROR(VLOOKUP(B24,seguimiento_finanzas!B:C,2,0),"")</f>
        <v>4.9000000000000004</v>
      </c>
      <c r="N24" s="12">
        <f>IFERROR(VLOOKUP(E24&amp;$N$2&amp;"Total",retroalimenación!D:F,3,0),"")</f>
        <v>5</v>
      </c>
      <c r="O24" s="32">
        <f>ROUND(SUMPRODUCT(G24:H24,$G$1:$H$1)*4,1)+0.2</f>
        <v>5</v>
      </c>
      <c r="P24" s="24">
        <f>ROUND(SUMPRODUCT(I24:J24,$I$1:$J$1)*4,1)+0.4</f>
        <v>5</v>
      </c>
      <c r="Q24" s="31">
        <f>ROUND(SUMPRODUCT(K24:L24,$K$1:$L$1)*4,1)</f>
        <v>5</v>
      </c>
      <c r="R24" s="85">
        <f>ROUND(SUMPRODUCT(M24:N24,$M$1:$N$1)*4,1)</f>
        <v>5</v>
      </c>
      <c r="S24" s="10"/>
      <c r="T24" s="10">
        <f>VLOOKUP(B24,bonificaciones!B:C,2,0)</f>
        <v>0.60000000000000009</v>
      </c>
      <c r="U24" s="89"/>
    </row>
    <row r="25" spans="1:21" customFormat="1">
      <c r="A25" s="35" t="s">
        <v>100</v>
      </c>
      <c r="B25" s="35" t="s">
        <v>101</v>
      </c>
      <c r="C25" s="10">
        <v>5</v>
      </c>
      <c r="D25" s="10">
        <v>5</v>
      </c>
      <c r="E25" s="10">
        <v>5</v>
      </c>
      <c r="F25" s="10">
        <v>5</v>
      </c>
      <c r="G25" s="77">
        <v>4.8</v>
      </c>
      <c r="H25" s="77">
        <f>IFERROR(VLOOKUP(C25&amp;$H$2&amp;"Total",retroalimenación!D:F,3,0),"")</f>
        <v>5</v>
      </c>
      <c r="I25" s="77">
        <v>4.8</v>
      </c>
      <c r="J25" s="77">
        <f>IFERROR(VLOOKUP(D25&amp;$J$2&amp;"Total",retroalimenación!D:F,3,0),"")</f>
        <v>4.2749999999999995</v>
      </c>
      <c r="K25" s="77">
        <v>4.8</v>
      </c>
      <c r="L25" s="77">
        <f>IFERROR(VLOOKUP(E25&amp;$L$2&amp;"Total",retroalimenación!D:F,3,0),"")</f>
        <v>5</v>
      </c>
      <c r="M25" s="77">
        <v>4.8</v>
      </c>
      <c r="N25" s="12">
        <f>IFERROR(VLOOKUP(E25&amp;$N$2&amp;"Total",retroalimenación!D:F,3,0),"")</f>
        <v>5</v>
      </c>
      <c r="O25" s="54">
        <f>ROUND(SUMPRODUCT(G25:H25,$G$1:$H$1)*4,1)</f>
        <v>4.9000000000000004</v>
      </c>
      <c r="P25" s="31">
        <f>ROUND(SUMPRODUCT(I25:J25,$I$1:$J$1)*4,1)</f>
        <v>4.5</v>
      </c>
      <c r="Q25" s="31">
        <f>ROUND(SUMPRODUCT(K25:L25,$K$1:$L$1)*4,1)</f>
        <v>4.9000000000000004</v>
      </c>
      <c r="R25" s="85">
        <f>ROUND(SUMPRODUCT(M25:N25,$M$1:$N$1)*4,1)</f>
        <v>4.9000000000000004</v>
      </c>
      <c r="S25" s="10" t="s">
        <v>109</v>
      </c>
      <c r="T25" s="10">
        <f>VLOOKUP(B25,bonificaciones!B:C,2,0)</f>
        <v>0</v>
      </c>
      <c r="U25" s="89"/>
    </row>
    <row r="26" spans="1:21" customFormat="1">
      <c r="A26" s="35" t="s">
        <v>102</v>
      </c>
      <c r="B26" s="35" t="s">
        <v>103</v>
      </c>
      <c r="C26" s="10">
        <v>1</v>
      </c>
      <c r="D26" s="10">
        <v>1</v>
      </c>
      <c r="E26" s="10">
        <v>1</v>
      </c>
      <c r="F26" s="10">
        <v>1</v>
      </c>
      <c r="G26" s="77">
        <f>IFERROR(VLOOKUP(B26,seguimiento_HR!B:J,2,0),"")</f>
        <v>4.8</v>
      </c>
      <c r="H26" s="77">
        <f>IFERROR(VLOOKUP(C26&amp;$H$2&amp;"Total",retroalimenación!D:F,3,0),"")</f>
        <v>5</v>
      </c>
      <c r="I26" s="77">
        <f>IFERROR(VLOOKUP(B26,seguimiento_mark!B:C,2,0),"")</f>
        <v>4</v>
      </c>
      <c r="J26" s="77">
        <f>IFERROR(VLOOKUP(D26&amp;$J$2&amp;"Total",retroalimenación!D:F,3,0),"")</f>
        <v>5</v>
      </c>
      <c r="K26" s="77">
        <f>IFERROR(VLOOKUP(B26,seguimiento_salud!B:C,2,0),"")</f>
        <v>3.9</v>
      </c>
      <c r="L26" s="77">
        <f>IFERROR(VLOOKUP(E26&amp;$L$2&amp;"Total",retroalimenación!D:F,3,0),"")</f>
        <v>5</v>
      </c>
      <c r="M26" s="77">
        <f>IFERROR(VLOOKUP(B26,seguimiento_finanzas!B:C,2,0),"")</f>
        <v>3.7</v>
      </c>
      <c r="N26" s="12">
        <f>IFERROR(VLOOKUP(E26&amp;$N$2&amp;"Total",retroalimenación!D:F,3,0),"")</f>
        <v>5</v>
      </c>
      <c r="O26" s="54">
        <f>ROUND(SUMPRODUCT(G26:H26,$G$1:$H$1)*4,1)</f>
        <v>4.9000000000000004</v>
      </c>
      <c r="P26" s="24">
        <f>ROUND(SUMPRODUCT(I26:J26,$I$1:$J$1)*4,1)+0.4</f>
        <v>5</v>
      </c>
      <c r="Q26" s="31">
        <f>ROUND(SUMPRODUCT(K26:L26,$K$1:$L$1)*4,1)</f>
        <v>4.5999999999999996</v>
      </c>
      <c r="R26" s="85">
        <f>ROUND(SUMPRODUCT(M26:N26,$M$1:$N$1)*4,1)</f>
        <v>4.5</v>
      </c>
      <c r="S26" s="10"/>
      <c r="T26" s="10">
        <f>VLOOKUP(B26,bonificaciones!B:C,2,0)</f>
        <v>0.4</v>
      </c>
      <c r="U26" s="89"/>
    </row>
    <row r="27" spans="1:21" customFormat="1">
      <c r="A27" s="35" t="s">
        <v>104</v>
      </c>
      <c r="B27" s="35" t="s">
        <v>105</v>
      </c>
      <c r="C27" s="10">
        <v>7</v>
      </c>
      <c r="D27" s="10">
        <v>7</v>
      </c>
      <c r="E27" s="10">
        <v>7</v>
      </c>
      <c r="F27" s="10">
        <v>7</v>
      </c>
      <c r="G27" s="77">
        <f>IFERROR(VLOOKUP(B27,seguimiento_HR!B:J,2,0),"")</f>
        <v>3.8</v>
      </c>
      <c r="H27" s="77">
        <f>IFERROR(VLOOKUP(C27&amp;$H$2&amp;"Total",retroalimenación!D:F,3,0),"")</f>
        <v>3.9000000000000004</v>
      </c>
      <c r="I27" s="77">
        <f>IFERROR(VLOOKUP(B27,seguimiento_mark!B:C,2,0),"")</f>
        <v>3.8</v>
      </c>
      <c r="J27" s="77">
        <f>IFERROR(VLOOKUP(D27&amp;$J$2&amp;"Total",retroalimenación!D:F,3,0),"")</f>
        <v>4.22</v>
      </c>
      <c r="K27" s="77">
        <f>IFERROR(VLOOKUP(B27,seguimiento_salud!B:C,2,0),"")</f>
        <v>4.8</v>
      </c>
      <c r="L27" s="77">
        <f>IFERROR(VLOOKUP(E27&amp;$L$2&amp;"Total",retroalimenación!D:F,3,0),"")</f>
        <v>4.3250000000000002</v>
      </c>
      <c r="M27" s="77">
        <f>IFERROR(VLOOKUP(B27,seguimiento_finanzas!B:C,2,0),"")</f>
        <v>2.1</v>
      </c>
      <c r="N27" s="12">
        <f>IFERROR(VLOOKUP(E27&amp;$N$2&amp;"Total",retroalimenación!D:F,3,0),"")</f>
        <v>3.25</v>
      </c>
      <c r="O27" s="31">
        <f>ROUND(SUMPRODUCT(G27:H27,$G$1:$H$1)*4,1)</f>
        <v>3.9</v>
      </c>
      <c r="P27" s="31">
        <f>ROUND(SUMPRODUCT(I27:J27,$I$1:$J$1)*4,1)</f>
        <v>4.0999999999999996</v>
      </c>
      <c r="Q27" s="31">
        <f>ROUND(SUMPRODUCT(K27:L27,$K$1:$L$1)*4,1)</f>
        <v>4.5</v>
      </c>
      <c r="R27" s="31">
        <f>ROUND(SUMPRODUCT(M27:N27,$M$1:$N$1)*4,1)</f>
        <v>2.8</v>
      </c>
      <c r="S27" s="10"/>
      <c r="T27" s="10">
        <f>VLOOKUP(B27,bonificaciones!B:C,2,0)</f>
        <v>0</v>
      </c>
      <c r="U27" s="89"/>
    </row>
  </sheetData>
  <autoFilter ref="A2:W27" xr:uid="{B0921484-3F85-4E13-B3DD-3A87C63B2B0B}">
    <filterColumn colId="0">
      <filters>
        <filter val="ALVAREZ FERNANDEZ ALANIS"/>
        <filter val="ÁLVAREZ LÓPEZ ALEJANDRO"/>
        <filter val="AMAYA LEÓN ALEXÁNDER"/>
        <filter val="ARROYAVE MURILLO JUAN DIEGO"/>
        <filter val="BETANCOURT FUENTES LAURA CAMILA"/>
        <filter val="BLANDÓN RAMÍREZ MANUELA"/>
        <filter val="CAICEDO AGUIRRE MATEO"/>
        <filter val="CARDONA MOLINA JUAN ESTEBAN"/>
        <filter val="CUARTAS GIL SEBASTIAN"/>
        <filter val="DEL VALLE CORREA DAYANA SOFIA"/>
        <filter val="DUSSAN PUERTA ESTEFANIA"/>
        <filter val="GIL PACHECO GILBERTO JOSÉ"/>
        <filter val="GUZMAN ZORRILLA NATALIA XIMENA"/>
        <filter val="MARIN ZULUAGA SIMON"/>
        <filter val="MOLINA AMAYA AURA MARÍA"/>
        <filter val="PEREZ CASTILLA KAREN MARCELA"/>
        <filter val="RESTREPO OLARTE SANTIAGO"/>
        <filter val="SÁNCHEZ ÁLVAREZ SEBASTIÁN"/>
        <filter val="SOTO TABORDA JUAN ESTEBAN"/>
        <filter val="TORO VILLEGAS JUAN JOSE"/>
      </filters>
    </filterColumn>
    <filterColumn colId="20" showButton="0"/>
    <filterColumn colId="21" showButton="0"/>
    <sortState xmlns:xlrd2="http://schemas.microsoft.com/office/spreadsheetml/2017/richdata2" ref="A3:W27">
      <sortCondition ref="A2"/>
    </sortState>
  </autoFilter>
  <mergeCells count="2">
    <mergeCell ref="O1:Q1"/>
    <mergeCell ref="U2:W2"/>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C21C8-16C9-47CC-8D31-59AE5B2286B4}">
  <dimension ref="A1:F29"/>
  <sheetViews>
    <sheetView workbookViewId="0">
      <selection activeCell="H3" sqref="H3"/>
    </sheetView>
  </sheetViews>
  <sheetFormatPr baseColWidth="10" defaultRowHeight="15"/>
  <cols>
    <col min="2" max="2" width="33.28515625" customWidth="1"/>
    <col min="3" max="3" width="23.42578125" customWidth="1"/>
  </cols>
  <sheetData>
    <row r="1" spans="1:6" ht="39.75" thickBot="1">
      <c r="A1" s="37" t="s">
        <v>13</v>
      </c>
      <c r="B1" s="38" t="s">
        <v>143</v>
      </c>
      <c r="C1" s="38" t="s">
        <v>144</v>
      </c>
      <c r="D1" s="38" t="s">
        <v>145</v>
      </c>
      <c r="E1" s="38" t="s">
        <v>146</v>
      </c>
      <c r="F1" s="38" t="s">
        <v>13</v>
      </c>
    </row>
    <row r="2" spans="1:6" ht="15.75" thickBot="1">
      <c r="A2" s="39">
        <v>1</v>
      </c>
      <c r="B2" s="40" t="s">
        <v>56</v>
      </c>
      <c r="C2" s="41" t="s">
        <v>147</v>
      </c>
      <c r="D2" s="42">
        <v>45546</v>
      </c>
      <c r="E2" s="43"/>
      <c r="F2" s="41">
        <v>1</v>
      </c>
    </row>
    <row r="3" spans="1:6" ht="15.75" thickBot="1">
      <c r="A3" s="39">
        <v>1</v>
      </c>
      <c r="B3" s="40" t="s">
        <v>103</v>
      </c>
      <c r="C3" s="41" t="s">
        <v>148</v>
      </c>
      <c r="D3" s="42">
        <v>45546</v>
      </c>
      <c r="E3" s="43"/>
      <c r="F3" s="41">
        <v>1</v>
      </c>
    </row>
    <row r="4" spans="1:6" ht="30" thickBot="1">
      <c r="A4" s="39">
        <v>1</v>
      </c>
      <c r="B4" s="40" t="s">
        <v>99</v>
      </c>
      <c r="C4" s="41" t="s">
        <v>149</v>
      </c>
      <c r="D4" s="42">
        <v>45546</v>
      </c>
      <c r="E4" s="43"/>
      <c r="F4" s="41">
        <v>1</v>
      </c>
    </row>
    <row r="5" spans="1:6" ht="15.75" thickBot="1">
      <c r="A5" s="39">
        <v>1</v>
      </c>
      <c r="B5" s="40" t="s">
        <v>72</v>
      </c>
      <c r="C5" s="41" t="s">
        <v>150</v>
      </c>
      <c r="D5" s="42">
        <v>45546</v>
      </c>
      <c r="E5" s="43"/>
      <c r="F5" s="41">
        <v>1</v>
      </c>
    </row>
    <row r="6" spans="1:6" ht="15.75" thickBot="1">
      <c r="A6" s="44">
        <v>2</v>
      </c>
      <c r="B6" s="45" t="s">
        <v>151</v>
      </c>
      <c r="C6" s="45" t="s">
        <v>152</v>
      </c>
      <c r="D6" s="46">
        <v>45548</v>
      </c>
      <c r="E6" s="47"/>
      <c r="F6" s="45">
        <v>2</v>
      </c>
    </row>
    <row r="7" spans="1:6" ht="15.75" thickBot="1">
      <c r="A7" s="44">
        <v>2</v>
      </c>
      <c r="B7" s="45" t="s">
        <v>153</v>
      </c>
      <c r="C7" s="45" t="s">
        <v>154</v>
      </c>
      <c r="D7" s="46">
        <v>45548</v>
      </c>
      <c r="E7" s="47"/>
      <c r="F7" s="45">
        <v>2</v>
      </c>
    </row>
    <row r="8" spans="1:6" ht="15.75" thickBot="1">
      <c r="A8" s="44">
        <v>2</v>
      </c>
      <c r="B8" s="45" t="s">
        <v>155</v>
      </c>
      <c r="C8" s="45" t="s">
        <v>156</v>
      </c>
      <c r="D8" s="46">
        <v>45548</v>
      </c>
      <c r="E8" s="47"/>
      <c r="F8" s="45">
        <v>2</v>
      </c>
    </row>
    <row r="9" spans="1:6" ht="15.75" thickBot="1">
      <c r="A9" s="44">
        <v>2</v>
      </c>
      <c r="B9" s="45" t="s">
        <v>157</v>
      </c>
      <c r="C9" s="45" t="s">
        <v>158</v>
      </c>
      <c r="D9" s="46">
        <v>45548</v>
      </c>
      <c r="E9" s="47"/>
      <c r="F9" s="45">
        <v>2</v>
      </c>
    </row>
    <row r="10" spans="1:6" ht="15.75" thickBot="1">
      <c r="A10" s="39">
        <v>3</v>
      </c>
      <c r="B10" s="41" t="s">
        <v>66</v>
      </c>
      <c r="C10" s="41" t="s">
        <v>159</v>
      </c>
      <c r="D10" s="42">
        <v>45548</v>
      </c>
      <c r="E10" s="43"/>
      <c r="F10" s="41">
        <v>3</v>
      </c>
    </row>
    <row r="11" spans="1:6" ht="15.75" thickBot="1">
      <c r="A11" s="39">
        <v>3</v>
      </c>
      <c r="B11" s="41" t="s">
        <v>91</v>
      </c>
      <c r="C11" s="41" t="s">
        <v>160</v>
      </c>
      <c r="D11" s="42">
        <v>45548</v>
      </c>
      <c r="E11" s="43"/>
      <c r="F11" s="41">
        <v>3</v>
      </c>
    </row>
    <row r="12" spans="1:6" ht="15.75" thickBot="1">
      <c r="A12" s="39">
        <v>3</v>
      </c>
      <c r="B12" s="41" t="s">
        <v>83</v>
      </c>
      <c r="C12" s="41" t="s">
        <v>161</v>
      </c>
      <c r="D12" s="42">
        <v>45548</v>
      </c>
      <c r="E12" s="43"/>
      <c r="F12" s="41">
        <v>3</v>
      </c>
    </row>
    <row r="13" spans="1:6" ht="15.75" thickBot="1">
      <c r="A13" s="48">
        <v>4</v>
      </c>
      <c r="B13" s="49" t="s">
        <v>74</v>
      </c>
      <c r="C13" s="49" t="s">
        <v>162</v>
      </c>
      <c r="D13" s="50">
        <v>45546</v>
      </c>
      <c r="E13" s="51"/>
      <c r="F13" s="49">
        <v>4</v>
      </c>
    </row>
    <row r="14" spans="1:6" ht="15.75" thickBot="1">
      <c r="A14" s="44">
        <v>4</v>
      </c>
      <c r="B14" s="45" t="s">
        <v>107</v>
      </c>
      <c r="C14" s="45" t="s">
        <v>163</v>
      </c>
      <c r="D14" s="46">
        <v>45546</v>
      </c>
      <c r="E14" s="47" t="s">
        <v>164</v>
      </c>
      <c r="F14" s="45">
        <v>4</v>
      </c>
    </row>
    <row r="15" spans="1:6" ht="15.75" thickBot="1">
      <c r="A15" s="44">
        <v>4</v>
      </c>
      <c r="B15" s="49" t="s">
        <v>93</v>
      </c>
      <c r="C15" s="45" t="s">
        <v>165</v>
      </c>
      <c r="D15" s="46">
        <v>45546</v>
      </c>
      <c r="E15" s="47"/>
      <c r="F15" s="45">
        <v>4</v>
      </c>
    </row>
    <row r="16" spans="1:6" ht="15.75" thickBot="1">
      <c r="A16" s="44">
        <v>4</v>
      </c>
      <c r="B16" s="45" t="s">
        <v>95</v>
      </c>
      <c r="C16" s="45" t="s">
        <v>166</v>
      </c>
      <c r="D16" s="46">
        <v>45546</v>
      </c>
      <c r="E16" s="47"/>
      <c r="F16" s="45">
        <v>4</v>
      </c>
    </row>
    <row r="17" spans="1:6" ht="27" thickBot="1">
      <c r="A17" s="39">
        <v>5</v>
      </c>
      <c r="B17" s="41" t="s">
        <v>167</v>
      </c>
      <c r="C17" s="41" t="s">
        <v>168</v>
      </c>
      <c r="D17" s="42">
        <v>45546</v>
      </c>
      <c r="E17" s="43"/>
      <c r="F17" s="41">
        <v>5</v>
      </c>
    </row>
    <row r="18" spans="1:6" ht="27" thickBot="1">
      <c r="A18" s="39">
        <v>5</v>
      </c>
      <c r="B18" s="41" t="s">
        <v>169</v>
      </c>
      <c r="C18" s="41" t="s">
        <v>170</v>
      </c>
      <c r="D18" s="42">
        <v>45546</v>
      </c>
      <c r="E18" s="43"/>
      <c r="F18" s="41">
        <v>5</v>
      </c>
    </row>
    <row r="19" spans="1:6" ht="15.75" thickBot="1">
      <c r="A19" s="39">
        <v>5</v>
      </c>
      <c r="B19" s="41" t="s">
        <v>81</v>
      </c>
      <c r="C19" s="41" t="s">
        <v>171</v>
      </c>
      <c r="D19" s="42">
        <v>45546</v>
      </c>
      <c r="E19" s="43"/>
      <c r="F19" s="41">
        <v>5</v>
      </c>
    </row>
    <row r="20" spans="1:6" ht="15.75" thickBot="1">
      <c r="A20" s="39">
        <v>5</v>
      </c>
      <c r="B20" s="41" t="s">
        <v>58</v>
      </c>
      <c r="C20" s="41" t="s">
        <v>172</v>
      </c>
      <c r="D20" s="42">
        <v>45546</v>
      </c>
      <c r="E20" s="43"/>
      <c r="F20" s="41">
        <v>5</v>
      </c>
    </row>
    <row r="21" spans="1:6" ht="15.75" thickBot="1">
      <c r="A21" s="44">
        <v>6</v>
      </c>
      <c r="B21" s="45" t="s">
        <v>89</v>
      </c>
      <c r="C21" s="45" t="s">
        <v>173</v>
      </c>
      <c r="D21" s="46">
        <v>45546</v>
      </c>
      <c r="E21" s="47"/>
      <c r="F21" s="45">
        <v>6</v>
      </c>
    </row>
    <row r="22" spans="1:6" ht="27" thickBot="1">
      <c r="A22" s="44">
        <v>6</v>
      </c>
      <c r="B22" s="45" t="s">
        <v>106</v>
      </c>
      <c r="C22" s="45" t="s">
        <v>174</v>
      </c>
      <c r="D22" s="46">
        <v>45546</v>
      </c>
      <c r="E22" s="47"/>
      <c r="F22" s="45">
        <v>6</v>
      </c>
    </row>
    <row r="23" spans="1:6" ht="27" thickBot="1">
      <c r="A23" s="44">
        <v>6</v>
      </c>
      <c r="B23" s="45" t="s">
        <v>75</v>
      </c>
      <c r="C23" s="45" t="s">
        <v>175</v>
      </c>
      <c r="D23" s="46">
        <v>45546</v>
      </c>
      <c r="E23" s="47"/>
      <c r="F23" s="45">
        <v>6</v>
      </c>
    </row>
    <row r="24" spans="1:6" ht="15.75" thickBot="1">
      <c r="A24" s="39">
        <v>7</v>
      </c>
      <c r="B24" s="41" t="s">
        <v>87</v>
      </c>
      <c r="C24" s="41" t="s">
        <v>176</v>
      </c>
      <c r="D24" s="42">
        <v>45548</v>
      </c>
      <c r="E24" s="43"/>
      <c r="F24" s="41">
        <v>7</v>
      </c>
    </row>
    <row r="25" spans="1:6" ht="15.75" thickBot="1">
      <c r="A25" s="39">
        <v>7</v>
      </c>
      <c r="B25" s="41" t="s">
        <v>77</v>
      </c>
      <c r="C25" s="41" t="s">
        <v>177</v>
      </c>
      <c r="D25" s="42">
        <v>45548</v>
      </c>
      <c r="E25" s="43"/>
      <c r="F25" s="41">
        <v>7</v>
      </c>
    </row>
    <row r="26" spans="1:6" ht="15.75" thickBot="1">
      <c r="A26" s="39">
        <v>7</v>
      </c>
      <c r="B26" s="41" t="s">
        <v>105</v>
      </c>
      <c r="C26" s="41" t="s">
        <v>178</v>
      </c>
      <c r="D26" s="42">
        <v>45548</v>
      </c>
      <c r="E26" s="43"/>
      <c r="F26" s="41">
        <v>7</v>
      </c>
    </row>
    <row r="27" spans="1:6" ht="15.75" thickBot="1">
      <c r="A27" s="39">
        <v>7</v>
      </c>
      <c r="B27" s="41" t="s">
        <v>70</v>
      </c>
      <c r="C27" s="41" t="s">
        <v>179</v>
      </c>
      <c r="D27" s="42">
        <v>45548</v>
      </c>
      <c r="E27" s="43"/>
      <c r="F27" s="41">
        <v>7</v>
      </c>
    </row>
    <row r="28" spans="1:6" ht="15.75" thickBot="1">
      <c r="A28" s="44">
        <v>8</v>
      </c>
      <c r="B28" s="45" t="s">
        <v>62</v>
      </c>
      <c r="C28" s="45" t="s">
        <v>180</v>
      </c>
      <c r="D28" s="46">
        <v>45548</v>
      </c>
      <c r="E28" s="47"/>
      <c r="F28" s="45">
        <v>8</v>
      </c>
    </row>
    <row r="29" spans="1:6" ht="15.75" thickBot="1">
      <c r="A29" s="44">
        <v>8</v>
      </c>
      <c r="B29" s="45" t="s">
        <v>85</v>
      </c>
      <c r="C29" s="45" t="s">
        <v>181</v>
      </c>
      <c r="D29" s="46">
        <v>45548</v>
      </c>
      <c r="E29" s="47"/>
      <c r="F29" s="45">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B6373-A762-4BE6-9A58-FDC0075ADB02}">
  <dimension ref="A1:L27"/>
  <sheetViews>
    <sheetView workbookViewId="0">
      <selection activeCell="C4" sqref="C4"/>
    </sheetView>
  </sheetViews>
  <sheetFormatPr baseColWidth="10" defaultRowHeight="15"/>
  <cols>
    <col min="1" max="2" width="37.7109375" style="2" customWidth="1"/>
    <col min="3" max="3" width="16.85546875" customWidth="1"/>
    <col min="4" max="4" width="15.28515625" hidden="1" customWidth="1"/>
    <col min="5" max="5" width="14.42578125" hidden="1" customWidth="1"/>
    <col min="6" max="6" width="21.42578125" style="1" customWidth="1"/>
    <col min="7" max="7" width="20.85546875" customWidth="1"/>
    <col min="8" max="8" width="17.42578125" customWidth="1"/>
    <col min="9" max="9" width="21.140625" customWidth="1"/>
    <col min="10" max="10" width="18.5703125" customWidth="1"/>
    <col min="11" max="11" width="17.85546875" customWidth="1"/>
    <col min="12" max="12" width="14.85546875" customWidth="1"/>
  </cols>
  <sheetData>
    <row r="1" spans="1:12">
      <c r="C1" s="5"/>
      <c r="D1" s="33"/>
      <c r="E1" s="33"/>
      <c r="F1" s="33"/>
      <c r="G1" s="33"/>
      <c r="H1" s="21"/>
      <c r="I1" s="21"/>
      <c r="J1" s="33"/>
      <c r="K1" s="33"/>
    </row>
    <row r="2" spans="1:12" ht="30">
      <c r="A2" s="7" t="s">
        <v>0</v>
      </c>
      <c r="B2" s="16" t="s">
        <v>1</v>
      </c>
      <c r="C2" s="11" t="s">
        <v>142</v>
      </c>
      <c r="D2" s="8" t="s">
        <v>52</v>
      </c>
      <c r="E2" s="8" t="s">
        <v>53</v>
      </c>
      <c r="F2" s="14" t="s">
        <v>15</v>
      </c>
      <c r="G2" s="14" t="s">
        <v>54</v>
      </c>
      <c r="H2" s="14" t="s">
        <v>35</v>
      </c>
      <c r="I2" s="14" t="s">
        <v>182</v>
      </c>
      <c r="J2" s="14" t="s">
        <v>49</v>
      </c>
      <c r="K2" s="14" t="s">
        <v>49</v>
      </c>
      <c r="L2" s="14" t="s">
        <v>310</v>
      </c>
    </row>
    <row r="3" spans="1:12">
      <c r="A3" s="34" t="s">
        <v>73</v>
      </c>
      <c r="B3" s="34" t="s">
        <v>74</v>
      </c>
      <c r="C3" s="36">
        <f>IFERROR(ROUND(AVERAGE(F3:K3),1),"")</f>
        <v>4.5</v>
      </c>
      <c r="D3" s="10">
        <f>IFERROR(VLOOKUP(B3,consolidado_notas!B:C,2,0),"")</f>
        <v>4</v>
      </c>
      <c r="E3" s="10">
        <f>D3</f>
        <v>4</v>
      </c>
      <c r="F3" s="15">
        <f>VLOOKUP(B3,seguimientos_extra!A:B,2,0)</f>
        <v>4.5</v>
      </c>
      <c r="G3" s="18">
        <f>F3</f>
        <v>4.5</v>
      </c>
      <c r="H3" s="18">
        <f>G3</f>
        <v>4.5</v>
      </c>
      <c r="I3" s="18">
        <f>H3</f>
        <v>4.5</v>
      </c>
      <c r="J3" s="15">
        <f>IFERROR(ROUND(VLOOKUP(D3&amp;$J$2&amp;"Total",retroalimenación!D:F,3,0),1),"")</f>
        <v>4.5</v>
      </c>
      <c r="K3" s="15">
        <f>J3</f>
        <v>4.5</v>
      </c>
      <c r="L3" s="10" t="str">
        <f>IFERROR(VLOOKUP(B3,seguimientos_extra!A:C,3,0),"")</f>
        <v>Sí</v>
      </c>
    </row>
    <row r="4" spans="1:12">
      <c r="A4" s="35" t="s">
        <v>94</v>
      </c>
      <c r="B4" s="35" t="s">
        <v>95</v>
      </c>
      <c r="C4" s="36">
        <f>IFERROR(ROUND(AVERAGE(F4:K4),1),"")</f>
        <v>4.8</v>
      </c>
      <c r="D4" s="10">
        <f>IFERROR(VLOOKUP(B4,consolidado_notas!B:C,2,0),"")</f>
        <v>4</v>
      </c>
      <c r="E4" s="10">
        <f>D4</f>
        <v>4</v>
      </c>
      <c r="F4" s="15">
        <f>VLOOKUP(B4,seguimientos_extra!A:B,2,0)</f>
        <v>5</v>
      </c>
      <c r="G4" s="18">
        <f t="shared" ref="G4:I4" si="0">F4</f>
        <v>5</v>
      </c>
      <c r="H4" s="18">
        <f t="shared" si="0"/>
        <v>5</v>
      </c>
      <c r="I4" s="18">
        <f t="shared" si="0"/>
        <v>5</v>
      </c>
      <c r="J4" s="15">
        <f>IFERROR(ROUND(VLOOKUP(D4&amp;$J$2&amp;"Total",retroalimenación!D:F,3,0),1),"")</f>
        <v>4.5</v>
      </c>
      <c r="K4" s="15">
        <f>J4</f>
        <v>4.5</v>
      </c>
      <c r="L4" s="10" t="str">
        <f>IFERROR(VLOOKUP(B4,seguimientos_extra!A:C,3,0),"")</f>
        <v>Sí</v>
      </c>
    </row>
    <row r="5" spans="1:12">
      <c r="A5" s="34" t="s">
        <v>57</v>
      </c>
      <c r="B5" s="34" t="s">
        <v>58</v>
      </c>
      <c r="C5" s="36">
        <f>IFERROR(ROUND(AVERAGE(F5:K5),1),"")</f>
        <v>4.5999999999999996</v>
      </c>
      <c r="D5" s="10">
        <f>IFERROR(VLOOKUP(B5,consolidado_notas!B:C,2,0),"")</f>
        <v>5</v>
      </c>
      <c r="E5" s="10">
        <f>D5</f>
        <v>5</v>
      </c>
      <c r="F5" s="15">
        <f>VLOOKUP(B5,seguimientos_extra!A:B,2,0)</f>
        <v>4.7</v>
      </c>
      <c r="G5" s="18">
        <f t="shared" ref="G5:I5" si="1">F5</f>
        <v>4.7</v>
      </c>
      <c r="H5" s="18">
        <f t="shared" si="1"/>
        <v>4.7</v>
      </c>
      <c r="I5" s="18">
        <f t="shared" si="1"/>
        <v>4.7</v>
      </c>
      <c r="J5" s="15">
        <f>IFERROR(ROUND(VLOOKUP(D5&amp;$J$2&amp;"Total",retroalimenación!D:F,3,0),1),"")</f>
        <v>4.4000000000000004</v>
      </c>
      <c r="K5" s="15">
        <f>J5</f>
        <v>4.4000000000000004</v>
      </c>
      <c r="L5" s="10" t="str">
        <f>IFERROR(VLOOKUP(B5,seguimientos_extra!A:C,3,0),"")</f>
        <v>Sí</v>
      </c>
    </row>
    <row r="6" spans="1:12">
      <c r="A6" s="34" t="s">
        <v>63</v>
      </c>
      <c r="B6" s="34" t="s">
        <v>64</v>
      </c>
      <c r="C6" s="36">
        <f>IFERROR(ROUND(AVERAGE(F6:K6),1),"")</f>
        <v>4.7</v>
      </c>
      <c r="D6" s="10">
        <f>IFERROR(VLOOKUP(B6,consolidado_notas!B:C,2,0),"")</f>
        <v>5</v>
      </c>
      <c r="E6" s="10">
        <f>D6</f>
        <v>5</v>
      </c>
      <c r="F6" s="15">
        <f>VLOOKUP(B6,seguimientos_extra!A:B,2,0)</f>
        <v>4.8</v>
      </c>
      <c r="G6" s="18">
        <f t="shared" ref="G6:I6" si="2">F6</f>
        <v>4.8</v>
      </c>
      <c r="H6" s="18">
        <f t="shared" si="2"/>
        <v>4.8</v>
      </c>
      <c r="I6" s="18">
        <f t="shared" si="2"/>
        <v>4.8</v>
      </c>
      <c r="J6" s="15">
        <f>IFERROR(ROUND(VLOOKUP(D6&amp;$J$2&amp;"Total",retroalimenación!D:F,3,0),1),"")</f>
        <v>4.4000000000000004</v>
      </c>
      <c r="K6" s="15">
        <f>J6</f>
        <v>4.4000000000000004</v>
      </c>
      <c r="L6" s="10" t="str">
        <f>IFERROR(VLOOKUP(B6,seguimientos_extra!A:C,3,0),"")</f>
        <v>Sí</v>
      </c>
    </row>
    <row r="7" spans="1:12">
      <c r="A7" s="34" t="s">
        <v>80</v>
      </c>
      <c r="B7" s="34" t="s">
        <v>81</v>
      </c>
      <c r="C7" s="36">
        <f>IFERROR(ROUND(AVERAGE(F7:K7),1),"")</f>
        <v>4.8</v>
      </c>
      <c r="D7" s="10">
        <f>IFERROR(VLOOKUP(B7,consolidado_notas!B:C,2,0),"")</f>
        <v>5</v>
      </c>
      <c r="E7" s="10">
        <f>D7</f>
        <v>5</v>
      </c>
      <c r="F7" s="15">
        <f>VLOOKUP(B7,seguimientos_extra!A:B,2,0)</f>
        <v>5</v>
      </c>
      <c r="G7" s="18">
        <f t="shared" ref="G7:I7" si="3">F7</f>
        <v>5</v>
      </c>
      <c r="H7" s="18">
        <f t="shared" si="3"/>
        <v>5</v>
      </c>
      <c r="I7" s="18">
        <f t="shared" si="3"/>
        <v>5</v>
      </c>
      <c r="J7" s="15">
        <f>IFERROR(ROUND(VLOOKUP(D7&amp;$J$2&amp;"Total",retroalimenación!D:F,3,0),1),"")</f>
        <v>4.4000000000000004</v>
      </c>
      <c r="K7" s="15">
        <f>J7</f>
        <v>4.4000000000000004</v>
      </c>
      <c r="L7" s="10" t="str">
        <f>IFERROR(VLOOKUP(B7,seguimientos_extra!A:C,3,0),"")</f>
        <v>Sí</v>
      </c>
    </row>
    <row r="8" spans="1:12">
      <c r="A8" s="35" t="s">
        <v>100</v>
      </c>
      <c r="B8" s="35" t="s">
        <v>101</v>
      </c>
      <c r="C8" s="36">
        <f>IFERROR(ROUND(AVERAGE(F8:K8),1),"")</f>
        <v>4.7</v>
      </c>
      <c r="D8" s="10">
        <f>IFERROR(VLOOKUP(B8,consolidado_notas!B:C,2,0),"")</f>
        <v>5</v>
      </c>
      <c r="E8" s="10">
        <f>D8</f>
        <v>5</v>
      </c>
      <c r="F8" s="15">
        <f>VLOOKUP(B8,seguimientos_extra!A:B,2,0)</f>
        <v>4.8</v>
      </c>
      <c r="G8" s="18">
        <f t="shared" ref="G8:I8" si="4">F8</f>
        <v>4.8</v>
      </c>
      <c r="H8" s="18">
        <f t="shared" si="4"/>
        <v>4.8</v>
      </c>
      <c r="I8" s="18">
        <f t="shared" si="4"/>
        <v>4.8</v>
      </c>
      <c r="J8" s="15">
        <f>IFERROR(ROUND(VLOOKUP(D8&amp;$J$2&amp;"Total",retroalimenación!D:F,3,0),1),"")</f>
        <v>4.4000000000000004</v>
      </c>
      <c r="K8" s="15">
        <f>J8</f>
        <v>4.4000000000000004</v>
      </c>
      <c r="L8" s="10" t="str">
        <f>IFERROR(VLOOKUP(B8,seguimientos_extra!A:C,3,0),"")</f>
        <v>Sí</v>
      </c>
    </row>
    <row r="9" spans="1:12">
      <c r="A9" s="34" t="s">
        <v>61</v>
      </c>
      <c r="B9" s="34" t="s">
        <v>62</v>
      </c>
      <c r="C9" s="36">
        <f>IFERROR(ROUND(AVERAGE(F9:K9),1),"")</f>
        <v>4.2</v>
      </c>
      <c r="D9" s="10">
        <f>IFERROR(VLOOKUP(B9,consolidado_notas!B:C,2,0),"")</f>
        <v>8</v>
      </c>
      <c r="E9" s="10">
        <f>D9</f>
        <v>8</v>
      </c>
      <c r="F9" s="15">
        <f>VLOOKUP(B9,seguimientos_extra!A:B,2,0)</f>
        <v>4.5</v>
      </c>
      <c r="G9" s="18">
        <f t="shared" ref="G9:I9" si="5">F9</f>
        <v>4.5</v>
      </c>
      <c r="H9" s="18">
        <f t="shared" si="5"/>
        <v>4.5</v>
      </c>
      <c r="I9" s="18">
        <f t="shared" si="5"/>
        <v>4.5</v>
      </c>
      <c r="J9" s="15">
        <f>IFERROR(ROUND(VLOOKUP(D9&amp;$J$2&amp;"Total",retroalimenación!D:F,3,0),1),"")</f>
        <v>3.5</v>
      </c>
      <c r="K9" s="15">
        <f>J9</f>
        <v>3.5</v>
      </c>
      <c r="L9" s="10" t="str">
        <f>IFERROR(VLOOKUP(B9,seguimientos_extra!A:C,3,0),"")</f>
        <v>Sí</v>
      </c>
    </row>
    <row r="10" spans="1:12">
      <c r="A10" s="34" t="s">
        <v>84</v>
      </c>
      <c r="B10" s="34" t="s">
        <v>85</v>
      </c>
      <c r="C10" s="36">
        <f>IFERROR(ROUND(AVERAGE(F10:K10),1),"")</f>
        <v>4.0999999999999996</v>
      </c>
      <c r="D10" s="10">
        <f>IFERROR(VLOOKUP(B10,consolidado_notas!B:C,2,0),"")</f>
        <v>8</v>
      </c>
      <c r="E10" s="10">
        <f>D10</f>
        <v>8</v>
      </c>
      <c r="F10" s="15">
        <f>VLOOKUP(B10,seguimientos_extra!A:B,2,0)</f>
        <v>4.4000000000000004</v>
      </c>
      <c r="G10" s="18">
        <f t="shared" ref="G10:I10" si="6">F10</f>
        <v>4.4000000000000004</v>
      </c>
      <c r="H10" s="18">
        <f t="shared" si="6"/>
        <v>4.4000000000000004</v>
      </c>
      <c r="I10" s="18">
        <f t="shared" si="6"/>
        <v>4.4000000000000004</v>
      </c>
      <c r="J10" s="15">
        <f>IFERROR(ROUND(VLOOKUP(D10&amp;$J$2&amp;"Total",retroalimenación!D:F,3,0),1),"")</f>
        <v>3.5</v>
      </c>
      <c r="K10" s="15">
        <f>J10</f>
        <v>3.5</v>
      </c>
      <c r="L10" s="10" t="str">
        <f>IFERROR(VLOOKUP(B10,seguimientos_extra!A:C,3,0),"")</f>
        <v>Sí</v>
      </c>
    </row>
    <row r="11" spans="1:12">
      <c r="A11" s="34" t="s">
        <v>55</v>
      </c>
      <c r="B11" s="34" t="s">
        <v>56</v>
      </c>
      <c r="C11" s="36">
        <f>IFERROR(ROUND(AVERAGE(F11:K11),1),"")</f>
        <v>4.5999999999999996</v>
      </c>
      <c r="D11" s="10">
        <f>IFERROR(VLOOKUP(B11,consolidado_notas!B:C,2,0),"")</f>
        <v>1</v>
      </c>
      <c r="E11" s="10">
        <f>D11</f>
        <v>1</v>
      </c>
      <c r="F11" s="15">
        <v>5</v>
      </c>
      <c r="G11" s="18">
        <v>5</v>
      </c>
      <c r="H11" s="18">
        <v>3.7</v>
      </c>
      <c r="I11" s="18">
        <v>5</v>
      </c>
      <c r="J11" s="15">
        <f>IFERROR(ROUND(VLOOKUP(D11&amp;$J$2&amp;"Total",retroalimenación!D:F,3,0),1),"")</f>
        <v>4.5</v>
      </c>
      <c r="K11" s="15">
        <f>J11</f>
        <v>4.5</v>
      </c>
      <c r="L11" s="10" t="str">
        <f>IFERROR(VLOOKUP(B11,seguimientos_extra!A:C,3,0),"")</f>
        <v/>
      </c>
    </row>
    <row r="12" spans="1:12">
      <c r="A12" s="34" t="s">
        <v>71</v>
      </c>
      <c r="B12" s="34" t="s">
        <v>72</v>
      </c>
      <c r="C12" s="36">
        <f>IFERROR(ROUND(AVERAGE(F12:K12),1),"")</f>
        <v>4.8</v>
      </c>
      <c r="D12" s="10">
        <f>IFERROR(VLOOKUP(B12,consolidado_notas!B:C,2,0),"")</f>
        <v>1</v>
      </c>
      <c r="E12" s="10">
        <f>D12</f>
        <v>1</v>
      </c>
      <c r="F12" s="15">
        <v>5</v>
      </c>
      <c r="G12" s="18">
        <v>5</v>
      </c>
      <c r="H12" s="18">
        <v>5</v>
      </c>
      <c r="I12" s="18">
        <v>5</v>
      </c>
      <c r="J12" s="15">
        <f>IFERROR(ROUND(VLOOKUP(D12&amp;$J$2&amp;"Total",retroalimenación!D:F,3,0),1),"")</f>
        <v>4.5</v>
      </c>
      <c r="K12" s="15">
        <f>J12</f>
        <v>4.5</v>
      </c>
      <c r="L12" s="10" t="str">
        <f>IFERROR(VLOOKUP(B12,seguimientos_extra!A:C,3,0),"")</f>
        <v/>
      </c>
    </row>
    <row r="13" spans="1:12">
      <c r="A13" s="35" t="s">
        <v>98</v>
      </c>
      <c r="B13" s="35" t="s">
        <v>99</v>
      </c>
      <c r="C13" s="36">
        <f>IFERROR(ROUND(AVERAGE(F13:K13),1),"")</f>
        <v>4.5999999999999996</v>
      </c>
      <c r="D13" s="10">
        <f>IFERROR(VLOOKUP(B13,consolidado_notas!B:C,2,0),"")</f>
        <v>1</v>
      </c>
      <c r="E13" s="10">
        <f>D13</f>
        <v>1</v>
      </c>
      <c r="F13" s="15">
        <v>5</v>
      </c>
      <c r="G13" s="18">
        <v>5</v>
      </c>
      <c r="H13" s="18">
        <v>3.7</v>
      </c>
      <c r="I13" s="18">
        <v>5</v>
      </c>
      <c r="J13" s="15">
        <f>IFERROR(ROUND(VLOOKUP(D13&amp;$J$2&amp;"Total",retroalimenación!D:F,3,0),1),"")</f>
        <v>4.5</v>
      </c>
      <c r="K13" s="15">
        <f>J13</f>
        <v>4.5</v>
      </c>
      <c r="L13" s="10" t="str">
        <f>IFERROR(VLOOKUP(B13,seguimientos_extra!A:C,3,0),"")</f>
        <v/>
      </c>
    </row>
    <row r="14" spans="1:12">
      <c r="A14" s="35" t="s">
        <v>102</v>
      </c>
      <c r="B14" s="35" t="s">
        <v>103</v>
      </c>
      <c r="C14" s="36">
        <f>IFERROR(ROUND(AVERAGE(F14:K14),1),"")</f>
        <v>4.8</v>
      </c>
      <c r="D14" s="10">
        <f>IFERROR(VLOOKUP(B14,consolidado_notas!B:C,2,0),"")</f>
        <v>1</v>
      </c>
      <c r="E14" s="10">
        <f>D14</f>
        <v>1</v>
      </c>
      <c r="F14" s="15">
        <v>5</v>
      </c>
      <c r="G14" s="18">
        <v>5</v>
      </c>
      <c r="H14" s="18">
        <v>4.7</v>
      </c>
      <c r="I14" s="18">
        <v>5</v>
      </c>
      <c r="J14" s="15">
        <f>IFERROR(ROUND(VLOOKUP(D14&amp;$J$2&amp;"Total",retroalimenación!D:F,3,0),1),"")</f>
        <v>4.5</v>
      </c>
      <c r="K14" s="15">
        <f>J14</f>
        <v>4.5</v>
      </c>
      <c r="L14" s="10" t="str">
        <f>IFERROR(VLOOKUP(B14,seguimientos_extra!A:C,3,0),"")</f>
        <v/>
      </c>
    </row>
    <row r="15" spans="1:12">
      <c r="A15" s="34" t="s">
        <v>59</v>
      </c>
      <c r="B15" s="34" t="s">
        <v>60</v>
      </c>
      <c r="C15" s="36">
        <f>IFERROR(ROUND(AVERAGE(F15:K15),1),"")</f>
        <v>4.0999999999999996</v>
      </c>
      <c r="D15" s="10">
        <f>IFERROR(VLOOKUP(B15,consolidado_notas!B:C,2,0),"")</f>
        <v>2</v>
      </c>
      <c r="E15" s="10">
        <f>D15</f>
        <v>2</v>
      </c>
      <c r="F15" s="15">
        <v>5</v>
      </c>
      <c r="G15" s="18">
        <v>0</v>
      </c>
      <c r="H15" s="18">
        <v>4.7</v>
      </c>
      <c r="I15" s="18">
        <v>5</v>
      </c>
      <c r="J15" s="15">
        <f>IFERROR(ROUND(VLOOKUP(D15&amp;$J$2&amp;"Total",retroalimenación!D:F,3,0),1),"")</f>
        <v>4.8</v>
      </c>
      <c r="K15" s="15">
        <f>J15</f>
        <v>4.8</v>
      </c>
      <c r="L15" s="10" t="str">
        <f>IFERROR(VLOOKUP(B15,seguimientos_extra!A:C,3,0),"")</f>
        <v/>
      </c>
    </row>
    <row r="16" spans="1:12">
      <c r="A16" s="34" t="s">
        <v>67</v>
      </c>
      <c r="B16" s="34" t="s">
        <v>68</v>
      </c>
      <c r="C16" s="36">
        <f>IFERROR(ROUND(AVERAGE(F16:K16),1),"")</f>
        <v>4.5999999999999996</v>
      </c>
      <c r="D16" s="10">
        <f>IFERROR(VLOOKUP(B16,consolidado_notas!B:C,2,0),"")</f>
        <v>2</v>
      </c>
      <c r="E16" s="10">
        <f>D16</f>
        <v>2</v>
      </c>
      <c r="F16" s="15">
        <v>5</v>
      </c>
      <c r="G16" s="18">
        <v>5</v>
      </c>
      <c r="H16" s="18">
        <v>2.7</v>
      </c>
      <c r="I16" s="18">
        <v>5</v>
      </c>
      <c r="J16" s="15">
        <f>IFERROR(ROUND(VLOOKUP(D16&amp;$J$2&amp;"Total",retroalimenación!D:F,3,0),1),"")</f>
        <v>4.8</v>
      </c>
      <c r="K16" s="15">
        <f>J16</f>
        <v>4.8</v>
      </c>
      <c r="L16" s="10" t="str">
        <f>IFERROR(VLOOKUP(B16,seguimientos_extra!A:C,3,0),"")</f>
        <v/>
      </c>
    </row>
    <row r="17" spans="1:12">
      <c r="A17" s="34" t="s">
        <v>78</v>
      </c>
      <c r="B17" s="34" t="s">
        <v>79</v>
      </c>
      <c r="C17" s="36">
        <f>IFERROR(ROUND(AVERAGE(F17:K17),1),"")</f>
        <v>4.7</v>
      </c>
      <c r="D17" s="10">
        <f>IFERROR(VLOOKUP(B17,consolidado_notas!B:C,2,0),"")</f>
        <v>2</v>
      </c>
      <c r="E17" s="10">
        <f>D17</f>
        <v>2</v>
      </c>
      <c r="F17" s="15">
        <v>5</v>
      </c>
      <c r="G17" s="18">
        <v>5</v>
      </c>
      <c r="H17" s="18">
        <v>3.7</v>
      </c>
      <c r="I17" s="18">
        <v>5</v>
      </c>
      <c r="J17" s="15">
        <f>IFERROR(ROUND(VLOOKUP(D17&amp;$J$2&amp;"Total",retroalimenación!D:F,3,0),1),"")</f>
        <v>4.8</v>
      </c>
      <c r="K17" s="15">
        <f>J17</f>
        <v>4.8</v>
      </c>
      <c r="L17" s="10" t="str">
        <f>IFERROR(VLOOKUP(B17,seguimientos_extra!A:C,3,0),"")</f>
        <v/>
      </c>
    </row>
    <row r="18" spans="1:12">
      <c r="A18" s="35" t="s">
        <v>96</v>
      </c>
      <c r="B18" s="35" t="s">
        <v>97</v>
      </c>
      <c r="C18" s="36">
        <f>IFERROR(ROUND(AVERAGE(F18:K18),1),"")</f>
        <v>4.7</v>
      </c>
      <c r="D18" s="10">
        <f>IFERROR(VLOOKUP(B18,consolidado_notas!B:C,2,0),"")</f>
        <v>2</v>
      </c>
      <c r="E18" s="10">
        <f>D18</f>
        <v>2</v>
      </c>
      <c r="F18" s="15">
        <v>5</v>
      </c>
      <c r="G18" s="18"/>
      <c r="H18" s="18">
        <v>4</v>
      </c>
      <c r="I18" s="18">
        <v>5</v>
      </c>
      <c r="J18" s="15">
        <f>IFERROR(ROUND(VLOOKUP(D18&amp;$J$2&amp;"Total",retroalimenación!D:F,3,0),1),"")</f>
        <v>4.8</v>
      </c>
      <c r="K18" s="15">
        <f>J18</f>
        <v>4.8</v>
      </c>
      <c r="L18" s="10" t="str">
        <f>IFERROR(VLOOKUP(B18,seguimientos_extra!A:C,3,0),"")</f>
        <v/>
      </c>
    </row>
    <row r="19" spans="1:12">
      <c r="A19" s="34" t="s">
        <v>65</v>
      </c>
      <c r="B19" s="34" t="s">
        <v>66</v>
      </c>
      <c r="C19" s="36">
        <f>IFERROR(ROUND(AVERAGE(F19:K19),1),"")</f>
        <v>4.4000000000000004</v>
      </c>
      <c r="D19" s="10">
        <f>IFERROR(VLOOKUP(B19,consolidado_notas!B:C,2,0),"")</f>
        <v>3</v>
      </c>
      <c r="E19" s="10">
        <f>D19</f>
        <v>3</v>
      </c>
      <c r="F19" s="15">
        <v>5</v>
      </c>
      <c r="G19" s="18"/>
      <c r="H19" s="18">
        <v>4</v>
      </c>
      <c r="I19" s="18">
        <v>5</v>
      </c>
      <c r="J19" s="15">
        <f>IFERROR(ROUND(VLOOKUP(D19&amp;$J$2&amp;"Total",retroalimenación!D:F,3,0),1),"")</f>
        <v>4</v>
      </c>
      <c r="K19" s="15">
        <f>J19</f>
        <v>4</v>
      </c>
      <c r="L19" s="10" t="str">
        <f>IFERROR(VLOOKUP(B19,seguimientos_extra!A:C,3,0),"")</f>
        <v/>
      </c>
    </row>
    <row r="20" spans="1:12">
      <c r="A20" s="34" t="s">
        <v>82</v>
      </c>
      <c r="B20" s="34" t="s">
        <v>83</v>
      </c>
      <c r="C20" s="36">
        <f>IFERROR(ROUND(AVERAGE(F20:K20),1),"")</f>
        <v>4.5</v>
      </c>
      <c r="D20" s="10">
        <f>IFERROR(VLOOKUP(B20,consolidado_notas!B:C,2,0),"")</f>
        <v>3</v>
      </c>
      <c r="E20" s="10">
        <f>D20</f>
        <v>3</v>
      </c>
      <c r="F20" s="15">
        <v>5</v>
      </c>
      <c r="G20" s="18">
        <v>5</v>
      </c>
      <c r="H20" s="18">
        <v>3.8</v>
      </c>
      <c r="I20" s="18">
        <v>5</v>
      </c>
      <c r="J20" s="15">
        <f>IFERROR(ROUND(VLOOKUP(D20&amp;$J$2&amp;"Total",retroalimenación!D:F,3,0),1),"")</f>
        <v>4</v>
      </c>
      <c r="K20" s="15">
        <f>J20</f>
        <v>4</v>
      </c>
      <c r="L20" s="10" t="str">
        <f>IFERROR(VLOOKUP(B20,seguimientos_extra!A:C,3,0),"")</f>
        <v/>
      </c>
    </row>
    <row r="21" spans="1:12">
      <c r="A21" s="35" t="s">
        <v>90</v>
      </c>
      <c r="B21" s="35" t="s">
        <v>91</v>
      </c>
      <c r="C21" s="36">
        <f>IFERROR(ROUND(AVERAGE(F21:K21),1),"")</f>
        <v>3</v>
      </c>
      <c r="D21" s="10">
        <f>IFERROR(VLOOKUP(B21,consolidado_notas!B:C,2,0),"")</f>
        <v>3</v>
      </c>
      <c r="E21" s="10">
        <f>D21</f>
        <v>3</v>
      </c>
      <c r="F21" s="15">
        <v>5</v>
      </c>
      <c r="G21" s="18">
        <v>0</v>
      </c>
      <c r="H21" s="18">
        <v>5</v>
      </c>
      <c r="I21" s="18">
        <v>0</v>
      </c>
      <c r="J21" s="15">
        <f>IFERROR(ROUND(VLOOKUP(D21&amp;$J$2&amp;"Total",retroalimenación!D:F,3,0),1),"")</f>
        <v>4</v>
      </c>
      <c r="K21" s="15">
        <f>J21</f>
        <v>4</v>
      </c>
      <c r="L21" s="10" t="str">
        <f>IFERROR(VLOOKUP(B21,seguimientos_extra!A:C,3,0),"")</f>
        <v/>
      </c>
    </row>
    <row r="22" spans="1:12">
      <c r="A22" s="35" t="s">
        <v>92</v>
      </c>
      <c r="B22" s="35" t="s">
        <v>93</v>
      </c>
      <c r="C22" s="36">
        <f>IFERROR(ROUND(AVERAGE(F22:K22),1),"")</f>
        <v>4.4000000000000004</v>
      </c>
      <c r="D22" s="10">
        <f>IFERROR(VLOOKUP(B22,consolidado_notas!B:C,2,0),"")</f>
        <v>4</v>
      </c>
      <c r="E22" s="10">
        <f>D22</f>
        <v>4</v>
      </c>
      <c r="F22" s="15">
        <v>5</v>
      </c>
      <c r="G22" s="18"/>
      <c r="H22" s="18">
        <v>3</v>
      </c>
      <c r="I22" s="18">
        <v>5</v>
      </c>
      <c r="J22" s="15">
        <f>IFERROR(ROUND(VLOOKUP(D22&amp;$J$2&amp;"Total",retroalimenación!D:F,3,0),1),"")</f>
        <v>4.5</v>
      </c>
      <c r="K22" s="15">
        <f>J22</f>
        <v>4.5</v>
      </c>
      <c r="L22" s="10" t="str">
        <f>IFERROR(VLOOKUP(B22,seguimientos_extra!A:C,3,0),"")</f>
        <v/>
      </c>
    </row>
    <row r="23" spans="1:12">
      <c r="A23" s="34" t="s">
        <v>88</v>
      </c>
      <c r="B23" s="34" t="s">
        <v>89</v>
      </c>
      <c r="C23" s="36">
        <f>IFERROR(ROUND(AVERAGE(F23:K23),1),"")</f>
        <v>4.3</v>
      </c>
      <c r="D23" s="10">
        <f>IFERROR(VLOOKUP(B23,consolidado_notas!B:C,2,0),"")</f>
        <v>6</v>
      </c>
      <c r="E23" s="10">
        <f>D23</f>
        <v>6</v>
      </c>
      <c r="F23" s="15">
        <v>5</v>
      </c>
      <c r="G23" s="18">
        <v>5</v>
      </c>
      <c r="H23" s="18">
        <v>2.2999999999999998</v>
      </c>
      <c r="I23" s="18">
        <v>5</v>
      </c>
      <c r="J23" s="15">
        <f>IFERROR(ROUND(VLOOKUP(D23&amp;$J$2&amp;"Total",retroalimenación!D:F,3,0),1),"")</f>
        <v>4.3</v>
      </c>
      <c r="K23" s="15">
        <f>J23</f>
        <v>4.3</v>
      </c>
      <c r="L23" s="10" t="str">
        <f>IFERROR(VLOOKUP(B23,seguimientos_extra!A:C,3,0),"")</f>
        <v/>
      </c>
    </row>
    <row r="24" spans="1:12">
      <c r="A24" s="34" t="s">
        <v>69</v>
      </c>
      <c r="B24" s="34" t="s">
        <v>70</v>
      </c>
      <c r="C24" s="36">
        <f>IFERROR(ROUND(AVERAGE(F24:K24),1),"")</f>
        <v>4.5</v>
      </c>
      <c r="D24" s="10">
        <f>IFERROR(VLOOKUP(B24,consolidado_notas!B:C,2,0),"")</f>
        <v>7</v>
      </c>
      <c r="E24" s="10">
        <f>D24</f>
        <v>7</v>
      </c>
      <c r="F24" s="15">
        <v>5</v>
      </c>
      <c r="G24" s="18">
        <v>5</v>
      </c>
      <c r="H24" s="18">
        <v>4</v>
      </c>
      <c r="I24" s="18">
        <v>5</v>
      </c>
      <c r="J24" s="15">
        <f>IFERROR(ROUND(VLOOKUP(D24&amp;$J$2&amp;"Total",retroalimenación!D:F,3,0),1),"")</f>
        <v>4.0999999999999996</v>
      </c>
      <c r="K24" s="15">
        <f>J24</f>
        <v>4.0999999999999996</v>
      </c>
      <c r="L24" s="10" t="str">
        <f>IFERROR(VLOOKUP(B24,seguimientos_extra!A:C,3,0),"")</f>
        <v/>
      </c>
    </row>
    <row r="25" spans="1:12">
      <c r="A25" s="34" t="s">
        <v>76</v>
      </c>
      <c r="B25" s="34" t="s">
        <v>77</v>
      </c>
      <c r="C25" s="36">
        <f>IFERROR(ROUND(AVERAGE(F25:K25),1),"")</f>
        <v>4.5</v>
      </c>
      <c r="D25" s="10">
        <f>IFERROR(VLOOKUP(B25,consolidado_notas!B:C,2,0),"")</f>
        <v>7</v>
      </c>
      <c r="E25" s="10">
        <f>D25</f>
        <v>7</v>
      </c>
      <c r="F25" s="15">
        <v>5</v>
      </c>
      <c r="G25" s="18">
        <v>5</v>
      </c>
      <c r="H25" s="18">
        <v>4</v>
      </c>
      <c r="I25" s="18">
        <v>5</v>
      </c>
      <c r="J25" s="15">
        <f>IFERROR(ROUND(VLOOKUP(D25&amp;$J$2&amp;"Total",retroalimenación!D:F,3,0),1),"")</f>
        <v>4.0999999999999996</v>
      </c>
      <c r="K25" s="15">
        <f>J25</f>
        <v>4.0999999999999996</v>
      </c>
      <c r="L25" s="10" t="str">
        <f>IFERROR(VLOOKUP(B25,seguimientos_extra!A:C,3,0),"")</f>
        <v/>
      </c>
    </row>
    <row r="26" spans="1:12">
      <c r="A26" s="34" t="s">
        <v>86</v>
      </c>
      <c r="B26" s="34" t="s">
        <v>87</v>
      </c>
      <c r="C26" s="36">
        <f>IFERROR(ROUND(AVERAGE(F26:K26),1),"")</f>
        <v>4.3</v>
      </c>
      <c r="D26" s="10">
        <f>IFERROR(VLOOKUP(B26,consolidado_notas!B:C,2,0),"")</f>
        <v>7</v>
      </c>
      <c r="E26" s="10">
        <f>D26</f>
        <v>7</v>
      </c>
      <c r="F26" s="15">
        <v>5</v>
      </c>
      <c r="G26" s="18">
        <v>5</v>
      </c>
      <c r="H26" s="18">
        <v>2.2999999999999998</v>
      </c>
      <c r="I26" s="18">
        <v>5</v>
      </c>
      <c r="J26" s="15">
        <f>IFERROR(ROUND(VLOOKUP(D26&amp;$J$2&amp;"Total",retroalimenación!D:F,3,0),1),"")</f>
        <v>4.0999999999999996</v>
      </c>
      <c r="K26" s="15">
        <f>J26</f>
        <v>4.0999999999999996</v>
      </c>
      <c r="L26" s="10" t="str">
        <f>IFERROR(VLOOKUP(B26,seguimientos_extra!A:C,3,0),"")</f>
        <v/>
      </c>
    </row>
    <row r="27" spans="1:12">
      <c r="A27" s="35" t="s">
        <v>104</v>
      </c>
      <c r="B27" s="35" t="s">
        <v>105</v>
      </c>
      <c r="C27" s="36">
        <f>IFERROR(ROUND(AVERAGE(F27:K27),1),"")</f>
        <v>3.8</v>
      </c>
      <c r="D27" s="10">
        <f>IFERROR(VLOOKUP(B27,consolidado_notas!B:C,2,0),"")</f>
        <v>7</v>
      </c>
      <c r="E27" s="10">
        <f>D27</f>
        <v>7</v>
      </c>
      <c r="F27" s="15">
        <v>5</v>
      </c>
      <c r="G27" s="18">
        <v>0</v>
      </c>
      <c r="H27" s="18">
        <v>4.7</v>
      </c>
      <c r="I27" s="18">
        <v>5</v>
      </c>
      <c r="J27" s="15">
        <f>IFERROR(ROUND(VLOOKUP(D27&amp;$J$2&amp;"Total",retroalimenación!D:F,3,0),1),"")</f>
        <v>4.0999999999999996</v>
      </c>
      <c r="K27" s="15">
        <f>J27</f>
        <v>4.0999999999999996</v>
      </c>
      <c r="L27" s="10" t="str">
        <f>IFERROR(VLOOKUP(B27,seguimientos_extra!A:C,3,0),"")</f>
        <v/>
      </c>
    </row>
  </sheetData>
  <autoFilter ref="A2:L2" xr:uid="{89BB6373-A762-4BE6-9A58-FDC0075ADB02}">
    <sortState xmlns:xlrd2="http://schemas.microsoft.com/office/spreadsheetml/2017/richdata2" ref="A3:L27">
      <sortCondition descending="1" ref="L2"/>
    </sortState>
  </autoFilter>
  <phoneticPr fontId="3" type="noConversion"/>
  <pageMargins left="0.7" right="0.7" top="0.75" bottom="0.75" header="0.3" footer="0.3"/>
  <pageSetup orientation="portrait" horizontalDpi="4294967292"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FFED1-AB34-40C1-84D3-B5BB3AA48218}">
  <dimension ref="A1:J27"/>
  <sheetViews>
    <sheetView workbookViewId="0">
      <selection activeCell="C4" sqref="C4"/>
    </sheetView>
  </sheetViews>
  <sheetFormatPr baseColWidth="10" defaultRowHeight="15"/>
  <cols>
    <col min="1" max="2" width="37.7109375" style="2" customWidth="1"/>
    <col min="3" max="3" width="16.85546875" customWidth="1"/>
    <col min="4" max="4" width="15.28515625" hidden="1" customWidth="1"/>
    <col min="5" max="5" width="21.42578125" style="1" customWidth="1"/>
    <col min="6" max="6" width="20.85546875" customWidth="1"/>
    <col min="7" max="7" width="17.42578125" customWidth="1"/>
    <col min="8" max="8" width="15.28515625" customWidth="1"/>
    <col min="9" max="9" width="15.5703125" customWidth="1"/>
  </cols>
  <sheetData>
    <row r="1" spans="1:10">
      <c r="C1" s="5"/>
      <c r="D1" s="33"/>
      <c r="E1" s="33"/>
      <c r="F1" s="33"/>
      <c r="G1" s="21"/>
      <c r="H1" s="33"/>
      <c r="I1" s="33"/>
    </row>
    <row r="2" spans="1:10" ht="45">
      <c r="A2" s="7" t="s">
        <v>0</v>
      </c>
      <c r="B2" s="16" t="s">
        <v>1</v>
      </c>
      <c r="C2" s="11" t="s">
        <v>25</v>
      </c>
      <c r="D2" s="8" t="s">
        <v>52</v>
      </c>
      <c r="E2" s="14" t="s">
        <v>183</v>
      </c>
      <c r="F2" s="14" t="s">
        <v>223</v>
      </c>
      <c r="G2" s="14" t="s">
        <v>222</v>
      </c>
      <c r="H2" s="14" t="s">
        <v>50</v>
      </c>
      <c r="I2" s="14" t="s">
        <v>50</v>
      </c>
      <c r="J2" s="14" t="s">
        <v>310</v>
      </c>
    </row>
    <row r="3" spans="1:10">
      <c r="A3" s="35" t="s">
        <v>94</v>
      </c>
      <c r="B3" s="35" t="s">
        <v>95</v>
      </c>
      <c r="C3" s="54">
        <f>IFERROR(ROUND(AVERAGE(E3:I3),1),"")</f>
        <v>4.9000000000000004</v>
      </c>
      <c r="D3" s="10">
        <f>IFERROR(VLOOKUP(B3,consolidado_notas!B:D,3,0),"")</f>
        <v>4</v>
      </c>
      <c r="E3" s="15">
        <f>VLOOKUP(B3,seguimientos_extra!A:B,2,0)</f>
        <v>5</v>
      </c>
      <c r="F3" s="18">
        <f>E3</f>
        <v>5</v>
      </c>
      <c r="G3" s="18">
        <f>F3</f>
        <v>5</v>
      </c>
      <c r="H3" s="15">
        <f>IFERROR(ROUND(VLOOKUP(D3&amp;$I$2&amp;"Total",retroalimenación!D:F,3,0),1),"")</f>
        <v>4.7</v>
      </c>
      <c r="I3" s="15">
        <f>H3</f>
        <v>4.7</v>
      </c>
      <c r="J3" s="10" t="str">
        <f>IFERROR(VLOOKUP(B3,seguimientos_extra!A:C,3,0),"")</f>
        <v>Sí</v>
      </c>
    </row>
    <row r="4" spans="1:10">
      <c r="A4" s="34" t="s">
        <v>57</v>
      </c>
      <c r="B4" s="34" t="s">
        <v>58</v>
      </c>
      <c r="C4" s="54">
        <f>IFERROR(ROUND(AVERAGE(E4:I4),1),"")</f>
        <v>2.8</v>
      </c>
      <c r="D4" s="10">
        <f>IFERROR(VLOOKUP(B4,consolidado_notas!B:D,3,0),"")</f>
        <v>5</v>
      </c>
      <c r="E4" s="15">
        <f>VLOOKUP(B4,seguimientos_extra!A:B,2,0)</f>
        <v>4.7</v>
      </c>
      <c r="F4" s="18">
        <f t="shared" ref="F4:G4" si="0">E4</f>
        <v>4.7</v>
      </c>
      <c r="G4" s="18">
        <f t="shared" si="0"/>
        <v>4.7</v>
      </c>
      <c r="H4" s="15">
        <f>IFERROR(ROUND(VLOOKUP(D4&amp;$I$2&amp;"Total",retroalimenación!D:F,3,0),1),"")</f>
        <v>0</v>
      </c>
      <c r="I4" s="15">
        <f>H4</f>
        <v>0</v>
      </c>
      <c r="J4" s="10" t="str">
        <f>IFERROR(VLOOKUP(B4,seguimientos_extra!A:C,3,0),"")</f>
        <v>Sí</v>
      </c>
    </row>
    <row r="5" spans="1:10">
      <c r="A5" s="34" t="s">
        <v>61</v>
      </c>
      <c r="B5" s="34" t="s">
        <v>62</v>
      </c>
      <c r="C5" s="54">
        <f>IFERROR(ROUND(AVERAGE(E5:I5),1),"")</f>
        <v>4.3</v>
      </c>
      <c r="D5" s="10">
        <f>IFERROR(VLOOKUP(B5,consolidado_notas!B:D,3,0),"")</f>
        <v>8</v>
      </c>
      <c r="E5" s="15">
        <f>VLOOKUP(B5,seguimientos_extra!A:B,2,0)</f>
        <v>4.5</v>
      </c>
      <c r="F5" s="18">
        <f t="shared" ref="F5:G5" si="1">E5</f>
        <v>4.5</v>
      </c>
      <c r="G5" s="18">
        <f t="shared" si="1"/>
        <v>4.5</v>
      </c>
      <c r="H5" s="15">
        <f>IFERROR(ROUND(VLOOKUP(D5&amp;$I$2&amp;"Total",retroalimenación!D:F,3,0),1),"")</f>
        <v>4.0999999999999996</v>
      </c>
      <c r="I5" s="15">
        <f>H5</f>
        <v>4.0999999999999996</v>
      </c>
      <c r="J5" s="10" t="str">
        <f>IFERROR(VLOOKUP(B5,seguimientos_extra!A:C,3,0),"")</f>
        <v>Sí</v>
      </c>
    </row>
    <row r="6" spans="1:10">
      <c r="A6" s="34" t="s">
        <v>63</v>
      </c>
      <c r="B6" s="34" t="s">
        <v>64</v>
      </c>
      <c r="C6" s="54">
        <f>IFERROR(ROUND(AVERAGE(E6:I6),1),"")</f>
        <v>2.9</v>
      </c>
      <c r="D6" s="10">
        <f>IFERROR(VLOOKUP(B6,consolidado_notas!B:D,3,0),"")</f>
        <v>5</v>
      </c>
      <c r="E6" s="15">
        <f>VLOOKUP(B6,seguimientos_extra!A:B,2,0)</f>
        <v>4.8</v>
      </c>
      <c r="F6" s="18">
        <f t="shared" ref="F6:G6" si="2">E6</f>
        <v>4.8</v>
      </c>
      <c r="G6" s="18">
        <f t="shared" si="2"/>
        <v>4.8</v>
      </c>
      <c r="H6" s="15">
        <f>IFERROR(ROUND(VLOOKUP(D6&amp;$I$2&amp;"Total",retroalimenación!D:F,3,0),1),"")</f>
        <v>0</v>
      </c>
      <c r="I6" s="15">
        <f>H6</f>
        <v>0</v>
      </c>
      <c r="J6" s="10" t="str">
        <f>IFERROR(VLOOKUP(B6,seguimientos_extra!A:C,3,0),"")</f>
        <v>Sí</v>
      </c>
    </row>
    <row r="7" spans="1:10">
      <c r="A7" s="34" t="s">
        <v>73</v>
      </c>
      <c r="B7" s="34" t="s">
        <v>74</v>
      </c>
      <c r="C7" s="54">
        <f>IFERROR(ROUND(AVERAGE(E7:I7),1),"")</f>
        <v>4.5999999999999996</v>
      </c>
      <c r="D7" s="10">
        <f>IFERROR(VLOOKUP(B7,consolidado_notas!B:D,3,0),"")</f>
        <v>4</v>
      </c>
      <c r="E7" s="15">
        <f>VLOOKUP(B7,seguimientos_extra!A:B,2,0)</f>
        <v>4.5</v>
      </c>
      <c r="F7" s="18">
        <f t="shared" ref="F7:G7" si="3">E7</f>
        <v>4.5</v>
      </c>
      <c r="G7" s="18">
        <f t="shared" si="3"/>
        <v>4.5</v>
      </c>
      <c r="H7" s="15">
        <f>IFERROR(ROUND(VLOOKUP(D7&amp;$I$2&amp;"Total",retroalimenación!D:F,3,0),1),"")</f>
        <v>4.7</v>
      </c>
      <c r="I7" s="15">
        <f>H7</f>
        <v>4.7</v>
      </c>
      <c r="J7" s="10" t="str">
        <f>IFERROR(VLOOKUP(B7,seguimientos_extra!A:C,3,0),"")</f>
        <v>Sí</v>
      </c>
    </row>
    <row r="8" spans="1:10">
      <c r="A8" s="34" t="s">
        <v>80</v>
      </c>
      <c r="B8" s="34" t="s">
        <v>81</v>
      </c>
      <c r="C8" s="54">
        <f>IFERROR(ROUND(AVERAGE(E8:I8),1),"")</f>
        <v>3</v>
      </c>
      <c r="D8" s="10">
        <f>IFERROR(VLOOKUP(B8,consolidado_notas!B:D,3,0),"")</f>
        <v>5</v>
      </c>
      <c r="E8" s="15">
        <f>VLOOKUP(B8,seguimientos_extra!A:B,2,0)</f>
        <v>5</v>
      </c>
      <c r="F8" s="18">
        <f t="shared" ref="F8:G8" si="4">E8</f>
        <v>5</v>
      </c>
      <c r="G8" s="18">
        <f t="shared" si="4"/>
        <v>5</v>
      </c>
      <c r="H8" s="15">
        <f>IFERROR(ROUND(VLOOKUP(D8&amp;$I$2&amp;"Total",retroalimenación!D:F,3,0),1),"")</f>
        <v>0</v>
      </c>
      <c r="I8" s="15">
        <f>H8</f>
        <v>0</v>
      </c>
      <c r="J8" s="10" t="str">
        <f>IFERROR(VLOOKUP(B8,seguimientos_extra!A:C,3,0),"")</f>
        <v>Sí</v>
      </c>
    </row>
    <row r="9" spans="1:10">
      <c r="A9" s="34" t="s">
        <v>84</v>
      </c>
      <c r="B9" s="34" t="s">
        <v>85</v>
      </c>
      <c r="C9" s="54">
        <f>IFERROR(ROUND(AVERAGE(E9:I9),1),"")</f>
        <v>4.3</v>
      </c>
      <c r="D9" s="10">
        <f>IFERROR(VLOOKUP(B9,consolidado_notas!B:D,3,0),"")</f>
        <v>8</v>
      </c>
      <c r="E9" s="15">
        <f>VLOOKUP(B9,seguimientos_extra!A:B,2,0)</f>
        <v>4.4000000000000004</v>
      </c>
      <c r="F9" s="18">
        <f t="shared" ref="F9:G9" si="5">E9</f>
        <v>4.4000000000000004</v>
      </c>
      <c r="G9" s="18">
        <f t="shared" si="5"/>
        <v>4.4000000000000004</v>
      </c>
      <c r="H9" s="15">
        <f>IFERROR(ROUND(VLOOKUP(D9&amp;$I$2&amp;"Total",retroalimenación!D:F,3,0),1),"")</f>
        <v>4.0999999999999996</v>
      </c>
      <c r="I9" s="15">
        <f>H9</f>
        <v>4.0999999999999996</v>
      </c>
      <c r="J9" s="10" t="str">
        <f>IFERROR(VLOOKUP(B9,seguimientos_extra!A:C,3,0),"")</f>
        <v>Sí</v>
      </c>
    </row>
    <row r="10" spans="1:10">
      <c r="A10" s="35" t="s">
        <v>100</v>
      </c>
      <c r="B10" s="35" t="s">
        <v>101</v>
      </c>
      <c r="C10" s="54">
        <f>IFERROR(ROUND(AVERAGE(E10:I10),1),"")</f>
        <v>2.9</v>
      </c>
      <c r="D10" s="10">
        <f>IFERROR(VLOOKUP(B10,consolidado_notas!B:D,3,0),"")</f>
        <v>5</v>
      </c>
      <c r="E10" s="15">
        <f>VLOOKUP(B10,seguimientos_extra!A:B,2,0)</f>
        <v>4.8</v>
      </c>
      <c r="F10" s="18">
        <f t="shared" ref="F10:G10" si="6">E10</f>
        <v>4.8</v>
      </c>
      <c r="G10" s="18">
        <f t="shared" si="6"/>
        <v>4.8</v>
      </c>
      <c r="H10" s="15">
        <f>IFERROR(ROUND(VLOOKUP(D10&amp;$I$2&amp;"Total",retroalimenación!D:F,3,0),1),"")</f>
        <v>0</v>
      </c>
      <c r="I10" s="15">
        <f>H10</f>
        <v>0</v>
      </c>
      <c r="J10" s="10" t="str">
        <f>IFERROR(VLOOKUP(B10,seguimientos_extra!A:C,3,0),"")</f>
        <v>Sí</v>
      </c>
    </row>
    <row r="11" spans="1:10">
      <c r="A11" s="34" t="s">
        <v>55</v>
      </c>
      <c r="B11" s="34" t="s">
        <v>56</v>
      </c>
      <c r="C11" s="54">
        <f>IFERROR(ROUND(AVERAGE(E11:I11),1),"")</f>
        <v>3</v>
      </c>
      <c r="D11" s="10">
        <f>IFERROR(VLOOKUP(B11,consolidado_notas!B:D,3,0),"")</f>
        <v>1</v>
      </c>
      <c r="E11" s="15">
        <v>0</v>
      </c>
      <c r="F11" s="18">
        <v>0</v>
      </c>
      <c r="G11" s="18">
        <v>5</v>
      </c>
      <c r="H11" s="15">
        <f>IFERROR(ROUND(VLOOKUP(D11&amp;$I$2&amp;"Total",retroalimenación!D:F,3,0),1),"")</f>
        <v>5</v>
      </c>
      <c r="I11" s="15">
        <f>H11</f>
        <v>5</v>
      </c>
      <c r="J11" s="10" t="str">
        <f>IFERROR(VLOOKUP(B11,seguimientos_extra!A:C,3,0),"")</f>
        <v/>
      </c>
    </row>
    <row r="12" spans="1:10">
      <c r="A12" s="34" t="s">
        <v>65</v>
      </c>
      <c r="B12" s="34" t="s">
        <v>66</v>
      </c>
      <c r="C12" s="54">
        <f>IFERROR(ROUND(AVERAGE(E12:I12),1),"")</f>
        <v>4.8</v>
      </c>
      <c r="D12" s="10">
        <f>IFERROR(VLOOKUP(B12,consolidado_notas!B:D,3,0),"")</f>
        <v>3</v>
      </c>
      <c r="E12" s="15">
        <v>5</v>
      </c>
      <c r="F12" s="18">
        <v>5</v>
      </c>
      <c r="G12" s="18">
        <v>5</v>
      </c>
      <c r="H12" s="15">
        <f>IFERROR(ROUND(VLOOKUP(D12&amp;$I$2&amp;"Total",retroalimenación!D:F,3,0),1),"")</f>
        <v>4.5</v>
      </c>
      <c r="I12" s="15">
        <f>H12</f>
        <v>4.5</v>
      </c>
      <c r="J12" s="10" t="str">
        <f>IFERROR(VLOOKUP(B12,seguimientos_extra!A:C,3,0),"")</f>
        <v/>
      </c>
    </row>
    <row r="13" spans="1:10">
      <c r="A13" s="34" t="s">
        <v>67</v>
      </c>
      <c r="B13" s="34" t="s">
        <v>68</v>
      </c>
      <c r="C13" s="54">
        <f>IFERROR(ROUND(AVERAGE(E13:I13),1),"")</f>
        <v>5</v>
      </c>
      <c r="D13" s="10">
        <f>IFERROR(VLOOKUP(B13,consolidado_notas!B:D,3,0),"")</f>
        <v>2</v>
      </c>
      <c r="E13" s="15">
        <v>5</v>
      </c>
      <c r="F13" s="18">
        <v>5</v>
      </c>
      <c r="G13" s="18">
        <v>5</v>
      </c>
      <c r="H13" s="15">
        <f>IFERROR(ROUND(VLOOKUP(D13&amp;$I$2&amp;"Total",retroalimenación!D:F,3,0),1),"")</f>
        <v>5</v>
      </c>
      <c r="I13" s="15">
        <f>H13</f>
        <v>5</v>
      </c>
      <c r="J13" s="10" t="str">
        <f>IFERROR(VLOOKUP(B13,seguimientos_extra!A:C,3,0),"")</f>
        <v/>
      </c>
    </row>
    <row r="14" spans="1:10">
      <c r="A14" s="34" t="s">
        <v>71</v>
      </c>
      <c r="B14" s="34" t="s">
        <v>72</v>
      </c>
      <c r="C14" s="54">
        <f>IFERROR(ROUND(AVERAGE(E14:I14),1),"")</f>
        <v>5</v>
      </c>
      <c r="D14" s="10">
        <f>IFERROR(VLOOKUP(B14,consolidado_notas!B:D,3,0),"")</f>
        <v>1</v>
      </c>
      <c r="E14" s="15">
        <v>5</v>
      </c>
      <c r="F14" s="18">
        <v>5</v>
      </c>
      <c r="G14" s="18">
        <v>5</v>
      </c>
      <c r="H14" s="15">
        <f>IFERROR(ROUND(VLOOKUP(D14&amp;$I$2&amp;"Total",retroalimenación!D:F,3,0),1),"")</f>
        <v>5</v>
      </c>
      <c r="I14" s="15">
        <f>H14</f>
        <v>5</v>
      </c>
      <c r="J14" s="10" t="str">
        <f>IFERROR(VLOOKUP(B14,seguimientos_extra!A:C,3,0),"")</f>
        <v/>
      </c>
    </row>
    <row r="15" spans="1:10">
      <c r="A15" s="34" t="s">
        <v>76</v>
      </c>
      <c r="B15" s="34" t="s">
        <v>77</v>
      </c>
      <c r="C15" s="54">
        <f>IFERROR(ROUND(AVERAGE(E15:I15),1),"")</f>
        <v>3.8</v>
      </c>
      <c r="D15" s="10">
        <f>IFERROR(VLOOKUP(B15,consolidado_notas!B:D,3,0),"")</f>
        <v>7</v>
      </c>
      <c r="E15" s="15">
        <v>5</v>
      </c>
      <c r="F15" s="18">
        <v>0</v>
      </c>
      <c r="G15" s="18">
        <v>5</v>
      </c>
      <c r="H15" s="15">
        <f>IFERROR(ROUND(VLOOKUP(D15&amp;$I$2&amp;"Total",retroalimenación!D:F,3,0),1),"")</f>
        <v>4.4000000000000004</v>
      </c>
      <c r="I15" s="15">
        <f>H15</f>
        <v>4.4000000000000004</v>
      </c>
      <c r="J15" s="10" t="str">
        <f>IFERROR(VLOOKUP(B15,seguimientos_extra!A:C,3,0),"")</f>
        <v/>
      </c>
    </row>
    <row r="16" spans="1:10">
      <c r="A16" s="35" t="s">
        <v>96</v>
      </c>
      <c r="B16" s="35" t="s">
        <v>97</v>
      </c>
      <c r="C16" s="54">
        <f>IFERROR(ROUND(AVERAGE(E16:I16),1),"")</f>
        <v>5</v>
      </c>
      <c r="D16" s="10">
        <f>IFERROR(VLOOKUP(B16,consolidado_notas!B:D,3,0),"")</f>
        <v>2</v>
      </c>
      <c r="E16" s="15">
        <v>5</v>
      </c>
      <c r="F16" s="18">
        <v>5</v>
      </c>
      <c r="G16" s="18">
        <v>5</v>
      </c>
      <c r="H16" s="15">
        <f>IFERROR(ROUND(VLOOKUP(D16&amp;$I$2&amp;"Total",retroalimenación!D:F,3,0),1),"")</f>
        <v>5</v>
      </c>
      <c r="I16" s="15">
        <f>H16</f>
        <v>5</v>
      </c>
      <c r="J16" s="10" t="str">
        <f>IFERROR(VLOOKUP(B16,seguimientos_extra!A:C,3,0),"")</f>
        <v/>
      </c>
    </row>
    <row r="17" spans="1:10">
      <c r="A17" s="35" t="s">
        <v>102</v>
      </c>
      <c r="B17" s="35" t="s">
        <v>103</v>
      </c>
      <c r="C17" s="54">
        <f>IFERROR(ROUND(AVERAGE(E17:I17),1),"")</f>
        <v>4</v>
      </c>
      <c r="D17" s="10">
        <f>IFERROR(VLOOKUP(B17,consolidado_notas!B:D,3,0),"")</f>
        <v>1</v>
      </c>
      <c r="E17" s="15">
        <v>5</v>
      </c>
      <c r="F17" s="18">
        <v>0</v>
      </c>
      <c r="G17" s="18">
        <v>5</v>
      </c>
      <c r="H17" s="15">
        <f>IFERROR(ROUND(VLOOKUP(D17&amp;$I$2&amp;"Total",retroalimenación!D:F,3,0),1),"")</f>
        <v>5</v>
      </c>
      <c r="I17" s="15">
        <f>H17</f>
        <v>5</v>
      </c>
      <c r="J17" s="10" t="str">
        <f>IFERROR(VLOOKUP(B17,seguimientos_extra!A:C,3,0),"")</f>
        <v/>
      </c>
    </row>
    <row r="18" spans="1:10">
      <c r="A18" s="35" t="s">
        <v>104</v>
      </c>
      <c r="B18" s="35" t="s">
        <v>105</v>
      </c>
      <c r="C18" s="54">
        <f>IFERROR(ROUND(AVERAGE(E18:I18),1),"")</f>
        <v>3.8</v>
      </c>
      <c r="D18" s="10">
        <f>IFERROR(VLOOKUP(B18,consolidado_notas!B:D,3,0),"")</f>
        <v>7</v>
      </c>
      <c r="E18" s="15">
        <v>5</v>
      </c>
      <c r="F18" s="18">
        <v>0</v>
      </c>
      <c r="G18" s="18">
        <v>5</v>
      </c>
      <c r="H18" s="15">
        <f>IFERROR(ROUND(VLOOKUP(D18&amp;$I$2&amp;"Total",retroalimenación!D:F,3,0),1),"")</f>
        <v>4.4000000000000004</v>
      </c>
      <c r="I18" s="15">
        <f>H18</f>
        <v>4.4000000000000004</v>
      </c>
      <c r="J18" s="10" t="str">
        <f>IFERROR(VLOOKUP(B18,seguimientos_extra!A:C,3,0),"")</f>
        <v/>
      </c>
    </row>
    <row r="19" spans="1:10">
      <c r="A19" s="34" t="s">
        <v>59</v>
      </c>
      <c r="B19" s="34" t="s">
        <v>60</v>
      </c>
      <c r="C19" s="54">
        <f>IFERROR(ROUND(AVERAGE(E19:I19),1),"")</f>
        <v>2</v>
      </c>
      <c r="D19" s="10">
        <f>IFERROR(VLOOKUP(B19,consolidado_notas!B:D,3,0),"")</f>
        <v>2</v>
      </c>
      <c r="E19" s="15">
        <v>0</v>
      </c>
      <c r="F19" s="18">
        <v>0</v>
      </c>
      <c r="G19" s="18">
        <v>0</v>
      </c>
      <c r="H19" s="15">
        <f>IFERROR(ROUND(VLOOKUP(D19&amp;$I$2&amp;"Total",retroalimenación!D:F,3,0),1),"")</f>
        <v>5</v>
      </c>
      <c r="I19" s="15">
        <f>H19</f>
        <v>5</v>
      </c>
      <c r="J19" s="10" t="str">
        <f>IFERROR(VLOOKUP(B19,seguimientos_extra!A:C,3,0),"")</f>
        <v/>
      </c>
    </row>
    <row r="20" spans="1:10">
      <c r="A20" s="34" t="s">
        <v>69</v>
      </c>
      <c r="B20" s="34" t="s">
        <v>70</v>
      </c>
      <c r="C20" s="54">
        <f>IFERROR(ROUND(AVERAGE(E20:I20),1),"")</f>
        <v>2.6</v>
      </c>
      <c r="D20" s="10">
        <f>IFERROR(VLOOKUP(B20,consolidado_notas!B:D,3,0),"")</f>
        <v>8</v>
      </c>
      <c r="E20" s="15">
        <v>0</v>
      </c>
      <c r="F20" s="18">
        <v>5</v>
      </c>
      <c r="G20" s="18">
        <v>0</v>
      </c>
      <c r="H20" s="15">
        <f>IFERROR(ROUND(VLOOKUP(D20&amp;$I$2&amp;"Total",retroalimenación!D:F,3,0),1),"")</f>
        <v>4.0999999999999996</v>
      </c>
      <c r="I20" s="15">
        <f>H20</f>
        <v>4.0999999999999996</v>
      </c>
      <c r="J20" s="10" t="str">
        <f>IFERROR(VLOOKUP(B20,seguimientos_extra!A:C,3,0),"")</f>
        <v/>
      </c>
    </row>
    <row r="21" spans="1:10">
      <c r="A21" s="34" t="s">
        <v>78</v>
      </c>
      <c r="B21" s="34" t="s">
        <v>79</v>
      </c>
      <c r="C21" s="54">
        <f>IFERROR(ROUND(AVERAGE(E21:I21),1),"")</f>
        <v>4</v>
      </c>
      <c r="D21" s="10">
        <f>IFERROR(VLOOKUP(B21,consolidado_notas!B:D,3,0),"")</f>
        <v>2</v>
      </c>
      <c r="E21" s="15">
        <v>5</v>
      </c>
      <c r="F21" s="18">
        <v>5</v>
      </c>
      <c r="G21" s="18">
        <v>0</v>
      </c>
      <c r="H21" s="15">
        <f>IFERROR(ROUND(VLOOKUP(D21&amp;$I$2&amp;"Total",retroalimenación!D:F,3,0),1),"")</f>
        <v>5</v>
      </c>
      <c r="I21" s="15">
        <f>H21</f>
        <v>5</v>
      </c>
      <c r="J21" s="10" t="str">
        <f>IFERROR(VLOOKUP(B21,seguimientos_extra!A:C,3,0),"")</f>
        <v/>
      </c>
    </row>
    <row r="22" spans="1:10">
      <c r="A22" s="34" t="s">
        <v>82</v>
      </c>
      <c r="B22" s="34" t="s">
        <v>83</v>
      </c>
      <c r="C22" s="54">
        <f>IFERROR(ROUND(AVERAGE(E22:I22),1),"")</f>
        <v>3.8</v>
      </c>
      <c r="D22" s="10">
        <f>IFERROR(VLOOKUP(B22,consolidado_notas!B:D,3,0),"")</f>
        <v>3</v>
      </c>
      <c r="E22" s="15">
        <v>5</v>
      </c>
      <c r="F22" s="18">
        <v>5</v>
      </c>
      <c r="G22" s="18">
        <v>0</v>
      </c>
      <c r="H22" s="15">
        <f>IFERROR(ROUND(VLOOKUP(D22&amp;$I$2&amp;"Total",retroalimenación!D:F,3,0),1),"")</f>
        <v>4.5</v>
      </c>
      <c r="I22" s="15">
        <f>H22</f>
        <v>4.5</v>
      </c>
      <c r="J22" s="10" t="str">
        <f>IFERROR(VLOOKUP(B22,seguimientos_extra!A:C,3,0),"")</f>
        <v/>
      </c>
    </row>
    <row r="23" spans="1:10">
      <c r="A23" s="34" t="s">
        <v>86</v>
      </c>
      <c r="B23" s="34" t="s">
        <v>87</v>
      </c>
      <c r="C23" s="54">
        <f>IFERROR(ROUND(AVERAGE(E23:I23),1),"")</f>
        <v>3.8</v>
      </c>
      <c r="D23" s="10">
        <f>IFERROR(VLOOKUP(B23,consolidado_notas!B:D,3,0),"")</f>
        <v>7</v>
      </c>
      <c r="E23" s="15">
        <v>5</v>
      </c>
      <c r="F23" s="18">
        <v>5</v>
      </c>
      <c r="G23" s="18">
        <v>0</v>
      </c>
      <c r="H23" s="15">
        <f>IFERROR(ROUND(VLOOKUP(D23&amp;$I$2&amp;"Total",retroalimenación!D:F,3,0),1),"")</f>
        <v>4.4000000000000004</v>
      </c>
      <c r="I23" s="15">
        <f>H23</f>
        <v>4.4000000000000004</v>
      </c>
      <c r="J23" s="10" t="str">
        <f>IFERROR(VLOOKUP(B23,seguimientos_extra!A:C,3,0),"")</f>
        <v/>
      </c>
    </row>
    <row r="24" spans="1:10">
      <c r="A24" s="34" t="s">
        <v>88</v>
      </c>
      <c r="B24" s="34" t="s">
        <v>89</v>
      </c>
      <c r="C24" s="54">
        <f>IFERROR(ROUND(AVERAGE(E24:I24),1),"")</f>
        <v>3.8</v>
      </c>
      <c r="D24" s="10">
        <f>IFERROR(VLOOKUP(B24,consolidado_notas!B:D,3,0),"")</f>
        <v>7</v>
      </c>
      <c r="E24" s="15">
        <v>5</v>
      </c>
      <c r="F24" s="18">
        <v>5</v>
      </c>
      <c r="G24" s="18">
        <v>0</v>
      </c>
      <c r="H24" s="15">
        <f>IFERROR(ROUND(VLOOKUP(D24&amp;$I$2&amp;"Total",retroalimenación!D:F,3,0),1),"")</f>
        <v>4.4000000000000004</v>
      </c>
      <c r="I24" s="15">
        <f>H24</f>
        <v>4.4000000000000004</v>
      </c>
      <c r="J24" s="10" t="str">
        <f>IFERROR(VLOOKUP(B24,seguimientos_extra!A:C,3,0),"")</f>
        <v/>
      </c>
    </row>
    <row r="25" spans="1:10">
      <c r="A25" s="35" t="s">
        <v>90</v>
      </c>
      <c r="B25" s="35" t="s">
        <v>91</v>
      </c>
      <c r="C25" s="54">
        <f>IFERROR(ROUND(AVERAGE(E25:I25),1),"")</f>
        <v>2.8</v>
      </c>
      <c r="D25" s="10">
        <f>IFERROR(VLOOKUP(B25,consolidado_notas!B:D,3,0),"")</f>
        <v>3</v>
      </c>
      <c r="E25" s="15">
        <v>5</v>
      </c>
      <c r="F25" s="18">
        <v>0</v>
      </c>
      <c r="G25" s="18">
        <v>0</v>
      </c>
      <c r="H25" s="15">
        <f>IFERROR(ROUND(VLOOKUP(D25&amp;$I$2&amp;"Total",retroalimenación!D:F,3,0),1),"")</f>
        <v>4.5</v>
      </c>
      <c r="I25" s="15">
        <f>H25</f>
        <v>4.5</v>
      </c>
      <c r="J25" s="10" t="str">
        <f>IFERROR(VLOOKUP(B25,seguimientos_extra!A:C,3,0),"")</f>
        <v/>
      </c>
    </row>
    <row r="26" spans="1:10">
      <c r="A26" s="35" t="s">
        <v>92</v>
      </c>
      <c r="B26" s="35" t="s">
        <v>93</v>
      </c>
      <c r="C26" s="54">
        <f>IFERROR(ROUND(AVERAGE(E26:I26),1),"")</f>
        <v>3.9</v>
      </c>
      <c r="D26" s="10">
        <f>IFERROR(VLOOKUP(B26,consolidado_notas!B:D,3,0),"")</f>
        <v>4</v>
      </c>
      <c r="E26" s="15">
        <v>5</v>
      </c>
      <c r="F26" s="18">
        <v>5</v>
      </c>
      <c r="G26" s="18">
        <v>0</v>
      </c>
      <c r="H26" s="15">
        <f>IFERROR(ROUND(VLOOKUP(D26&amp;$I$2&amp;"Total",retroalimenación!D:F,3,0),1),"")</f>
        <v>4.7</v>
      </c>
      <c r="I26" s="15">
        <f>H26</f>
        <v>4.7</v>
      </c>
      <c r="J26" s="10" t="str">
        <f>IFERROR(VLOOKUP(B26,seguimientos_extra!A:C,3,0),"")</f>
        <v/>
      </c>
    </row>
    <row r="27" spans="1:10">
      <c r="A27" s="35" t="s">
        <v>98</v>
      </c>
      <c r="B27" s="35" t="s">
        <v>99</v>
      </c>
      <c r="C27" s="54">
        <f>IFERROR(ROUND(AVERAGE(E27:I27),1),"")</f>
        <v>4</v>
      </c>
      <c r="D27" s="10">
        <f>IFERROR(VLOOKUP(B27,consolidado_notas!B:D,3,0),"")</f>
        <v>1</v>
      </c>
      <c r="E27" s="15">
        <v>5</v>
      </c>
      <c r="F27" s="18">
        <v>5</v>
      </c>
      <c r="G27" s="18">
        <v>0</v>
      </c>
      <c r="H27" s="15">
        <f>IFERROR(ROUND(VLOOKUP(D27&amp;$I$2&amp;"Total",retroalimenación!D:F,3,0),1),"")</f>
        <v>5</v>
      </c>
      <c r="I27" s="15">
        <f>H27</f>
        <v>5</v>
      </c>
      <c r="J27" s="10" t="str">
        <f>IFERROR(VLOOKUP(B27,seguimientos_extra!A:C,3,0),"")</f>
        <v/>
      </c>
    </row>
  </sheetData>
  <autoFilter ref="A2:J2" xr:uid="{287FFED1-AB34-40C1-84D3-B5BB3AA48218}">
    <sortState xmlns:xlrd2="http://schemas.microsoft.com/office/spreadsheetml/2017/richdata2" ref="A3:J27">
      <sortCondition descending="1" ref="J2"/>
    </sortState>
  </autoFilter>
  <pageMargins left="0.7" right="0.7" top="0.75" bottom="0.75" header="0.3" footer="0.3"/>
  <pageSetup orientation="portrait" horizontalDpi="4294967292"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FA0F-60EB-4009-A03B-2632CF96E1D5}">
  <dimension ref="A1:J27"/>
  <sheetViews>
    <sheetView workbookViewId="0">
      <selection activeCell="E4" sqref="E4"/>
    </sheetView>
  </sheetViews>
  <sheetFormatPr baseColWidth="10" defaultRowHeight="15"/>
  <cols>
    <col min="1" max="2" width="37.7109375" style="2" customWidth="1"/>
    <col min="3" max="3" width="16.85546875" customWidth="1"/>
    <col min="4" max="4" width="14.5703125" style="1" hidden="1" customWidth="1"/>
    <col min="5" max="5" width="21.42578125" style="1" customWidth="1"/>
    <col min="6" max="6" width="20.85546875" customWidth="1"/>
    <col min="7" max="7" width="17.42578125" customWidth="1"/>
    <col min="8" max="8" width="18" customWidth="1"/>
    <col min="9" max="9" width="17.85546875" customWidth="1"/>
  </cols>
  <sheetData>
    <row r="1" spans="1:10">
      <c r="C1" s="5"/>
      <c r="D1" s="33"/>
      <c r="E1" s="33"/>
      <c r="F1" s="33"/>
      <c r="G1" s="21"/>
      <c r="H1" s="33"/>
      <c r="I1" s="33"/>
    </row>
    <row r="2" spans="1:10" ht="45">
      <c r="A2" s="7" t="s">
        <v>0</v>
      </c>
      <c r="B2" s="16" t="s">
        <v>1</v>
      </c>
      <c r="C2" s="11" t="s">
        <v>25</v>
      </c>
      <c r="D2" s="8" t="s">
        <v>51</v>
      </c>
      <c r="E2" s="14" t="s">
        <v>261</v>
      </c>
      <c r="F2" s="14" t="s">
        <v>264</v>
      </c>
      <c r="G2" s="14" t="s">
        <v>265</v>
      </c>
      <c r="H2" s="14" t="s">
        <v>266</v>
      </c>
      <c r="I2" s="14" t="s">
        <v>266</v>
      </c>
      <c r="J2" s="14" t="s">
        <v>310</v>
      </c>
    </row>
    <row r="3" spans="1:10">
      <c r="A3" s="34" t="s">
        <v>57</v>
      </c>
      <c r="B3" s="34" t="s">
        <v>58</v>
      </c>
      <c r="C3" s="17">
        <f>IFERROR(ROUND(AVERAGE(E3:I3),1),"")</f>
        <v>4.5999999999999996</v>
      </c>
      <c r="D3" s="10">
        <f>VLOOKUP(B3,consolidado_notas!B:E,4,0)</f>
        <v>5</v>
      </c>
      <c r="E3" s="15">
        <f>VLOOKUP(B3,seguimientos_extra!A:B,2,0)</f>
        <v>4.7</v>
      </c>
      <c r="F3" s="18">
        <f>E3</f>
        <v>4.7</v>
      </c>
      <c r="G3" s="18">
        <f>F3</f>
        <v>4.7</v>
      </c>
      <c r="H3" s="15">
        <f>IFERROR(VLOOKUP(D3&amp;H$2&amp;"Total",retroalimenación!D:F,3,0),"")</f>
        <v>4.4000000000000004</v>
      </c>
      <c r="I3" s="15">
        <f>H3</f>
        <v>4.4000000000000004</v>
      </c>
      <c r="J3" s="10" t="str">
        <f>IFERROR(VLOOKUP(B3,seguimientos_extra!A:C,3,0),"")</f>
        <v>Sí</v>
      </c>
    </row>
    <row r="4" spans="1:10">
      <c r="A4" s="34" t="s">
        <v>61</v>
      </c>
      <c r="B4" s="34" t="s">
        <v>62</v>
      </c>
      <c r="C4" s="17">
        <f>IFERROR(ROUND(AVERAGE(E4:I4),1),"")</f>
        <v>4.5</v>
      </c>
      <c r="D4" s="10">
        <f>VLOOKUP(B4,consolidado_notas!B:E,4,0)</f>
        <v>8</v>
      </c>
      <c r="E4" s="15">
        <f>VLOOKUP(B4,seguimientos_extra!A:B,2,0)</f>
        <v>4.5</v>
      </c>
      <c r="F4" s="18">
        <f t="shared" ref="F4:G4" si="0">E4</f>
        <v>4.5</v>
      </c>
      <c r="G4" s="18">
        <f t="shared" si="0"/>
        <v>4.5</v>
      </c>
      <c r="H4" s="15">
        <f>IFERROR(VLOOKUP(D4&amp;H$2&amp;"Total",retroalimenación!D:F,3,0),"")</f>
        <v>4.4000000000000004</v>
      </c>
      <c r="I4" s="15">
        <f>H4</f>
        <v>4.4000000000000004</v>
      </c>
      <c r="J4" s="10" t="str">
        <f>IFERROR(VLOOKUP(B4,seguimientos_extra!A:C,3,0),"")</f>
        <v>Sí</v>
      </c>
    </row>
    <row r="5" spans="1:10">
      <c r="A5" s="34" t="s">
        <v>63</v>
      </c>
      <c r="B5" s="34" t="s">
        <v>64</v>
      </c>
      <c r="C5" s="17">
        <f>IFERROR(ROUND(AVERAGE(E5:I5),1),"")</f>
        <v>4.5999999999999996</v>
      </c>
      <c r="D5" s="10">
        <f>VLOOKUP(B5,consolidado_notas!B:E,4,0)</f>
        <v>5</v>
      </c>
      <c r="E5" s="15">
        <f>VLOOKUP(B5,seguimientos_extra!A:B,2,0)</f>
        <v>4.8</v>
      </c>
      <c r="F5" s="18">
        <f t="shared" ref="F5:G5" si="1">E5</f>
        <v>4.8</v>
      </c>
      <c r="G5" s="18">
        <f t="shared" si="1"/>
        <v>4.8</v>
      </c>
      <c r="H5" s="15">
        <f>IFERROR(VLOOKUP(D5&amp;H$2&amp;"Total",retroalimenación!D:F,3,0),"")</f>
        <v>4.4000000000000004</v>
      </c>
      <c r="I5" s="15">
        <f>H5</f>
        <v>4.4000000000000004</v>
      </c>
      <c r="J5" s="10" t="str">
        <f>IFERROR(VLOOKUP(B5,seguimientos_extra!A:C,3,0),"")</f>
        <v>Sí</v>
      </c>
    </row>
    <row r="6" spans="1:10">
      <c r="A6" s="34" t="s">
        <v>73</v>
      </c>
      <c r="B6" s="34" t="s">
        <v>74</v>
      </c>
      <c r="C6" s="17">
        <f>IFERROR(ROUND(AVERAGE(E6:I6),1),"")</f>
        <v>4.5</v>
      </c>
      <c r="D6" s="10">
        <f>VLOOKUP(B6,consolidado_notas!B:E,4,0)</f>
        <v>4</v>
      </c>
      <c r="E6" s="15">
        <f>VLOOKUP(B6,seguimientos_extra!A:B,2,0)</f>
        <v>4.5</v>
      </c>
      <c r="F6" s="18">
        <f t="shared" ref="F6:G6" si="2">E6</f>
        <v>4.5</v>
      </c>
      <c r="G6" s="18">
        <f t="shared" si="2"/>
        <v>4.5</v>
      </c>
      <c r="H6" s="15">
        <f>IFERROR(VLOOKUP(D6&amp;H$2&amp;"Total",retroalimenación!D:F,3,0),"")</f>
        <v>4.4000000000000004</v>
      </c>
      <c r="I6" s="15">
        <f>H6</f>
        <v>4.4000000000000004</v>
      </c>
      <c r="J6" s="10" t="str">
        <f>IFERROR(VLOOKUP(B6,seguimientos_extra!A:C,3,0),"")</f>
        <v>Sí</v>
      </c>
    </row>
    <row r="7" spans="1:10">
      <c r="A7" s="35" t="s">
        <v>94</v>
      </c>
      <c r="B7" s="35" t="s">
        <v>95</v>
      </c>
      <c r="C7" s="17">
        <f>IFERROR(ROUND(AVERAGE(E7:I7),1),"")</f>
        <v>4.8</v>
      </c>
      <c r="D7" s="10">
        <f>VLOOKUP(B7,consolidado_notas!B:E,4,0)</f>
        <v>4</v>
      </c>
      <c r="E7" s="15">
        <f>VLOOKUP(B7,seguimientos_extra!A:B,2,0)</f>
        <v>5</v>
      </c>
      <c r="F7" s="18">
        <f t="shared" ref="F7:G7" si="3">E7</f>
        <v>5</v>
      </c>
      <c r="G7" s="18">
        <f t="shared" si="3"/>
        <v>5</v>
      </c>
      <c r="H7" s="15">
        <f>IFERROR(VLOOKUP(D7&amp;H$2&amp;"Total",retroalimenación!D:F,3,0),"")</f>
        <v>4.4000000000000004</v>
      </c>
      <c r="I7" s="15">
        <f>H7</f>
        <v>4.4000000000000004</v>
      </c>
      <c r="J7" s="10" t="str">
        <f>IFERROR(VLOOKUP(B7,seguimientos_extra!A:C,3,0),"")</f>
        <v>Sí</v>
      </c>
    </row>
    <row r="8" spans="1:10">
      <c r="A8" s="34" t="s">
        <v>80</v>
      </c>
      <c r="B8" s="34" t="s">
        <v>81</v>
      </c>
      <c r="C8" s="17">
        <f>IFERROR(ROUND(AVERAGE(E8:I8),1),"")</f>
        <v>4.8</v>
      </c>
      <c r="D8" s="10">
        <f>VLOOKUP(B8,consolidado_notas!B:E,4,0)</f>
        <v>5</v>
      </c>
      <c r="E8" s="15">
        <f>VLOOKUP(B8,seguimientos_extra!A:B,2,0)</f>
        <v>5</v>
      </c>
      <c r="F8" s="18">
        <f t="shared" ref="F8:G8" si="4">E8</f>
        <v>5</v>
      </c>
      <c r="G8" s="18">
        <f t="shared" si="4"/>
        <v>5</v>
      </c>
      <c r="H8" s="15">
        <f>IFERROR(VLOOKUP(D8&amp;H$2&amp;"Total",retroalimenación!D:F,3,0),"")</f>
        <v>4.4000000000000004</v>
      </c>
      <c r="I8" s="15">
        <f>H8</f>
        <v>4.4000000000000004</v>
      </c>
      <c r="J8" s="10" t="str">
        <f>IFERROR(VLOOKUP(B8,seguimientos_extra!A:C,3,0),"")</f>
        <v>Sí</v>
      </c>
    </row>
    <row r="9" spans="1:10">
      <c r="A9" s="34" t="s">
        <v>84</v>
      </c>
      <c r="B9" s="34" t="s">
        <v>85</v>
      </c>
      <c r="C9" s="17">
        <f>IFERROR(ROUND(AVERAGE(E9:I9),1),"")</f>
        <v>4.4000000000000004</v>
      </c>
      <c r="D9" s="10">
        <f>VLOOKUP(B9,consolidado_notas!B:E,4,0)</f>
        <v>8</v>
      </c>
      <c r="E9" s="15">
        <f>VLOOKUP(B9,seguimientos_extra!A:B,2,0)</f>
        <v>4.4000000000000004</v>
      </c>
      <c r="F9" s="18">
        <f t="shared" ref="F9:G9" si="5">E9</f>
        <v>4.4000000000000004</v>
      </c>
      <c r="G9" s="18">
        <f t="shared" si="5"/>
        <v>4.4000000000000004</v>
      </c>
      <c r="H9" s="15">
        <f>IFERROR(VLOOKUP(D9&amp;H$2&amp;"Total",retroalimenación!D:F,3,0),"")</f>
        <v>4.4000000000000004</v>
      </c>
      <c r="I9" s="15">
        <f>H9</f>
        <v>4.4000000000000004</v>
      </c>
      <c r="J9" s="10" t="str">
        <f>IFERROR(VLOOKUP(B9,seguimientos_extra!A:C,3,0),"")</f>
        <v>Sí</v>
      </c>
    </row>
    <row r="10" spans="1:10">
      <c r="A10" s="35" t="s">
        <v>100</v>
      </c>
      <c r="B10" s="35" t="s">
        <v>101</v>
      </c>
      <c r="C10" s="17">
        <f>IFERROR(ROUND(AVERAGE(E10:I10),1),"")</f>
        <v>4.5999999999999996</v>
      </c>
      <c r="D10" s="10">
        <f>VLOOKUP(B10,consolidado_notas!B:E,4,0)</f>
        <v>5</v>
      </c>
      <c r="E10" s="15">
        <f>VLOOKUP(B10,seguimientos_extra!A:B,2,0)</f>
        <v>4.8</v>
      </c>
      <c r="F10" s="18">
        <f t="shared" ref="F10:G10" si="6">E10</f>
        <v>4.8</v>
      </c>
      <c r="G10" s="18">
        <f t="shared" si="6"/>
        <v>4.8</v>
      </c>
      <c r="H10" s="15">
        <f>IFERROR(VLOOKUP(D10&amp;H$2&amp;"Total",retroalimenación!D:F,3,0),"")</f>
        <v>4.4000000000000004</v>
      </c>
      <c r="I10" s="15">
        <f>H10</f>
        <v>4.4000000000000004</v>
      </c>
      <c r="J10" s="10" t="str">
        <f>IFERROR(VLOOKUP(B10,seguimientos_extra!A:C,3,0),"")</f>
        <v>Sí</v>
      </c>
    </row>
    <row r="11" spans="1:10">
      <c r="A11" s="34" t="s">
        <v>76</v>
      </c>
      <c r="B11" s="34" t="s">
        <v>77</v>
      </c>
      <c r="C11" s="17">
        <f>IFERROR(ROUND(AVERAGE(E11:I11),1),"")</f>
        <v>2.8</v>
      </c>
      <c r="D11" s="10">
        <f>VLOOKUP(B11,consolidado_notas!B:E,4,0)</f>
        <v>7</v>
      </c>
      <c r="E11" s="15">
        <v>5</v>
      </c>
      <c r="F11" s="18">
        <v>0</v>
      </c>
      <c r="G11" s="18">
        <v>0</v>
      </c>
      <c r="H11" s="15">
        <f>IFERROR(VLOOKUP(D11&amp;H$2&amp;"Total",retroalimenación!D:F,3,0),"")</f>
        <v>4.5</v>
      </c>
      <c r="I11" s="15">
        <f>H11</f>
        <v>4.5</v>
      </c>
      <c r="J11" s="10" t="str">
        <f>IFERROR(VLOOKUP(B11,seguimientos_extra!A:C,3,0),"")</f>
        <v/>
      </c>
    </row>
    <row r="12" spans="1:10">
      <c r="A12" s="34" t="s">
        <v>55</v>
      </c>
      <c r="B12" s="34" t="s">
        <v>56</v>
      </c>
      <c r="C12" s="17">
        <f>IFERROR(ROUND(AVERAGE(E12:I12),1),"")</f>
        <v>4.9000000000000004</v>
      </c>
      <c r="D12" s="10">
        <f>VLOOKUP(B12,consolidado_notas!B:E,4,0)</f>
        <v>1</v>
      </c>
      <c r="E12" s="15">
        <v>5</v>
      </c>
      <c r="F12" s="18">
        <v>5</v>
      </c>
      <c r="G12" s="18">
        <v>5</v>
      </c>
      <c r="H12" s="15">
        <f>IFERROR(VLOOKUP(D12&amp;H$2&amp;"Total",retroalimenación!D:F,3,0),"")</f>
        <v>4.8</v>
      </c>
      <c r="I12" s="15">
        <f>H12</f>
        <v>4.8</v>
      </c>
      <c r="J12" s="10" t="str">
        <f>IFERROR(VLOOKUP(B12,seguimientos_extra!A:C,3,0),"")</f>
        <v/>
      </c>
    </row>
    <row r="13" spans="1:10">
      <c r="A13" s="34" t="s">
        <v>59</v>
      </c>
      <c r="B13" s="34" t="s">
        <v>60</v>
      </c>
      <c r="C13" s="17">
        <f>IFERROR(ROUND(AVERAGE(E13:I13),1),"")</f>
        <v>4</v>
      </c>
      <c r="D13" s="10">
        <f>VLOOKUP(B13,consolidado_notas!B:E,4,0)</f>
        <v>2</v>
      </c>
      <c r="E13" s="15">
        <v>0</v>
      </c>
      <c r="F13" s="18">
        <v>5</v>
      </c>
      <c r="G13" s="18">
        <v>5</v>
      </c>
      <c r="H13" s="15">
        <f>IFERROR(VLOOKUP(D13&amp;H$2&amp;"Total",retroalimenación!D:F,3,0),"")</f>
        <v>5</v>
      </c>
      <c r="I13" s="15">
        <f>H13</f>
        <v>5</v>
      </c>
      <c r="J13" s="10" t="str">
        <f>IFERROR(VLOOKUP(B13,seguimientos_extra!A:C,3,0),"")</f>
        <v/>
      </c>
    </row>
    <row r="14" spans="1:10">
      <c r="A14" s="34" t="s">
        <v>65</v>
      </c>
      <c r="B14" s="34" t="s">
        <v>66</v>
      </c>
      <c r="C14" s="17">
        <f>IFERROR(ROUND(AVERAGE(E14:I14),1),"")</f>
        <v>3.7</v>
      </c>
      <c r="D14" s="10">
        <f>VLOOKUP(B14,consolidado_notas!B:E,4,0)</f>
        <v>3</v>
      </c>
      <c r="E14" s="15">
        <v>5</v>
      </c>
      <c r="F14" s="18">
        <v>0</v>
      </c>
      <c r="G14" s="18">
        <v>5</v>
      </c>
      <c r="H14" s="15">
        <f>IFERROR(VLOOKUP(D14&amp;H$2&amp;"Total",retroalimenación!D:F,3,0),"")</f>
        <v>4.2</v>
      </c>
      <c r="I14" s="15">
        <f>H14</f>
        <v>4.2</v>
      </c>
      <c r="J14" s="10" t="str">
        <f>IFERROR(VLOOKUP(B14,seguimientos_extra!A:C,3,0),"")</f>
        <v/>
      </c>
    </row>
    <row r="15" spans="1:10">
      <c r="A15" s="34" t="s">
        <v>67</v>
      </c>
      <c r="B15" s="34" t="s">
        <v>68</v>
      </c>
      <c r="C15" s="17">
        <f>IFERROR(ROUND(AVERAGE(E15:I15),1),"")</f>
        <v>5</v>
      </c>
      <c r="D15" s="10">
        <f>VLOOKUP(B15,consolidado_notas!B:E,4,0)</f>
        <v>2</v>
      </c>
      <c r="E15" s="15">
        <v>5</v>
      </c>
      <c r="F15" s="18">
        <v>5</v>
      </c>
      <c r="G15" s="18">
        <v>5</v>
      </c>
      <c r="H15" s="15">
        <f>IFERROR(VLOOKUP(D15&amp;H$2&amp;"Total",retroalimenación!D:F,3,0),"")</f>
        <v>5</v>
      </c>
      <c r="I15" s="15">
        <f>H15</f>
        <v>5</v>
      </c>
      <c r="J15" s="10" t="str">
        <f>IFERROR(VLOOKUP(B15,seguimientos_extra!A:C,3,0),"")</f>
        <v/>
      </c>
    </row>
    <row r="16" spans="1:10">
      <c r="A16" s="34" t="s">
        <v>69</v>
      </c>
      <c r="B16" s="34" t="s">
        <v>70</v>
      </c>
      <c r="C16" s="17">
        <f>IFERROR(ROUND(AVERAGE(E16:I16),1),"")</f>
        <v>3.8</v>
      </c>
      <c r="D16" s="10">
        <f>VLOOKUP(B16,consolidado_notas!B:E,4,0)</f>
        <v>8</v>
      </c>
      <c r="E16" s="15">
        <v>0</v>
      </c>
      <c r="F16" s="18">
        <v>5</v>
      </c>
      <c r="G16" s="18">
        <v>5</v>
      </c>
      <c r="H16" s="15">
        <f>IFERROR(VLOOKUP(D16&amp;H$2&amp;"Total",retroalimenación!D:F,3,0),"")</f>
        <v>4.4000000000000004</v>
      </c>
      <c r="I16" s="15">
        <f>H16</f>
        <v>4.4000000000000004</v>
      </c>
      <c r="J16" s="10" t="str">
        <f>IFERROR(VLOOKUP(B16,seguimientos_extra!A:C,3,0),"")</f>
        <v/>
      </c>
    </row>
    <row r="17" spans="1:10">
      <c r="A17" s="34" t="s">
        <v>71</v>
      </c>
      <c r="B17" s="34" t="s">
        <v>72</v>
      </c>
      <c r="C17" s="17">
        <f>IFERROR(ROUND(AVERAGE(E17:I17),1),"")</f>
        <v>4.9000000000000004</v>
      </c>
      <c r="D17" s="10">
        <f>VLOOKUP(B17,consolidado_notas!B:E,4,0)</f>
        <v>1</v>
      </c>
      <c r="E17" s="15">
        <v>5</v>
      </c>
      <c r="F17" s="18">
        <v>5</v>
      </c>
      <c r="G17" s="18">
        <v>5</v>
      </c>
      <c r="H17" s="15">
        <f>IFERROR(VLOOKUP(D17&amp;H$2&amp;"Total",retroalimenación!D:F,3,0),"")</f>
        <v>4.8</v>
      </c>
      <c r="I17" s="15">
        <f>H17</f>
        <v>4.8</v>
      </c>
      <c r="J17" s="10" t="str">
        <f>IFERROR(VLOOKUP(B17,seguimientos_extra!A:C,3,0),"")</f>
        <v/>
      </c>
    </row>
    <row r="18" spans="1:10">
      <c r="A18" s="34" t="s">
        <v>86</v>
      </c>
      <c r="B18" s="34" t="s">
        <v>87</v>
      </c>
      <c r="C18" s="17">
        <f>IFERROR(ROUND(AVERAGE(E18:I18),1),"")</f>
        <v>4.8</v>
      </c>
      <c r="D18" s="10">
        <f>VLOOKUP(B18,consolidado_notas!B:E,4,0)</f>
        <v>7</v>
      </c>
      <c r="E18" s="15">
        <v>5</v>
      </c>
      <c r="F18" s="18">
        <v>5</v>
      </c>
      <c r="G18" s="18">
        <v>5</v>
      </c>
      <c r="H18" s="15">
        <f>IFERROR(VLOOKUP(D18&amp;H$2&amp;"Total",retroalimenación!D:F,3,0),"")</f>
        <v>4.5</v>
      </c>
      <c r="I18" s="15">
        <f>H18</f>
        <v>4.5</v>
      </c>
      <c r="J18" s="10" t="str">
        <f>IFERROR(VLOOKUP(B18,seguimientos_extra!A:C,3,0),"")</f>
        <v/>
      </c>
    </row>
    <row r="19" spans="1:10">
      <c r="A19" s="34" t="s">
        <v>88</v>
      </c>
      <c r="B19" s="34" t="s">
        <v>89</v>
      </c>
      <c r="C19" s="17">
        <f>IFERROR(ROUND(AVERAGE(E19:I19),1),"")</f>
        <v>3.8</v>
      </c>
      <c r="D19" s="10">
        <f>VLOOKUP(B19,consolidado_notas!B:E,4,0)</f>
        <v>7</v>
      </c>
      <c r="E19" s="15">
        <v>0</v>
      </c>
      <c r="F19" s="18">
        <v>5</v>
      </c>
      <c r="G19" s="18">
        <v>5</v>
      </c>
      <c r="H19" s="15">
        <f>IFERROR(VLOOKUP(D19&amp;H$2&amp;"Total",retroalimenación!D:F,3,0),"")</f>
        <v>4.5</v>
      </c>
      <c r="I19" s="15">
        <f>H19</f>
        <v>4.5</v>
      </c>
      <c r="J19" s="10" t="str">
        <f>IFERROR(VLOOKUP(B19,seguimientos_extra!A:C,3,0),"")</f>
        <v/>
      </c>
    </row>
    <row r="20" spans="1:10">
      <c r="A20" s="35" t="s">
        <v>90</v>
      </c>
      <c r="B20" s="35" t="s">
        <v>91</v>
      </c>
      <c r="C20" s="17">
        <f>IFERROR(ROUND(AVERAGE(E20:I20),1),"")</f>
        <v>4.7</v>
      </c>
      <c r="D20" s="10">
        <f>VLOOKUP(B20,consolidado_notas!B:E,4,0)</f>
        <v>3</v>
      </c>
      <c r="E20" s="15">
        <v>5</v>
      </c>
      <c r="F20" s="18">
        <v>5</v>
      </c>
      <c r="G20" s="18">
        <v>5</v>
      </c>
      <c r="H20" s="15">
        <f>IFERROR(VLOOKUP(D20&amp;H$2&amp;"Total",retroalimenación!D:F,3,0),"")</f>
        <v>4.2</v>
      </c>
      <c r="I20" s="15">
        <f>H20</f>
        <v>4.2</v>
      </c>
      <c r="J20" s="10" t="str">
        <f>IFERROR(VLOOKUP(B20,seguimientos_extra!A:C,3,0),"")</f>
        <v/>
      </c>
    </row>
    <row r="21" spans="1:10">
      <c r="A21" s="35" t="s">
        <v>92</v>
      </c>
      <c r="B21" s="35" t="s">
        <v>93</v>
      </c>
      <c r="C21" s="17">
        <f>IFERROR(ROUND(AVERAGE(E21:I21),1),"")</f>
        <v>4.8</v>
      </c>
      <c r="D21" s="10">
        <f>VLOOKUP(B21,consolidado_notas!B:E,4,0)</f>
        <v>4</v>
      </c>
      <c r="E21" s="15">
        <v>5</v>
      </c>
      <c r="F21" s="18">
        <v>5</v>
      </c>
      <c r="G21" s="18">
        <v>5</v>
      </c>
      <c r="H21" s="15">
        <f>IFERROR(VLOOKUP(D21&amp;H$2&amp;"Total",retroalimenación!D:F,3,0),"")</f>
        <v>4.4000000000000004</v>
      </c>
      <c r="I21" s="15">
        <f>H21</f>
        <v>4.4000000000000004</v>
      </c>
      <c r="J21" s="10" t="str">
        <f>IFERROR(VLOOKUP(B21,seguimientos_extra!A:C,3,0),"")</f>
        <v/>
      </c>
    </row>
    <row r="22" spans="1:10">
      <c r="A22" s="35" t="s">
        <v>96</v>
      </c>
      <c r="B22" s="35" t="s">
        <v>97</v>
      </c>
      <c r="C22" s="17">
        <f>IFERROR(ROUND(AVERAGE(E22:I22),1),"")</f>
        <v>5</v>
      </c>
      <c r="D22" s="10">
        <f>VLOOKUP(B22,consolidado_notas!B:E,4,0)</f>
        <v>2</v>
      </c>
      <c r="E22" s="15">
        <v>5</v>
      </c>
      <c r="F22" s="18">
        <v>5</v>
      </c>
      <c r="G22" s="18">
        <v>5</v>
      </c>
      <c r="H22" s="15">
        <f>IFERROR(VLOOKUP(D22&amp;H$2&amp;"Total",retroalimenación!D:F,3,0),"")</f>
        <v>5</v>
      </c>
      <c r="I22" s="15">
        <f>H22</f>
        <v>5</v>
      </c>
      <c r="J22" s="10" t="str">
        <f>IFERROR(VLOOKUP(B22,seguimientos_extra!A:C,3,0),"")</f>
        <v/>
      </c>
    </row>
    <row r="23" spans="1:10">
      <c r="A23" s="35" t="s">
        <v>98</v>
      </c>
      <c r="B23" s="35" t="s">
        <v>99</v>
      </c>
      <c r="C23" s="17">
        <f>IFERROR(ROUND(AVERAGE(E23:I23),1),"")</f>
        <v>4.9000000000000004</v>
      </c>
      <c r="D23" s="10">
        <f>VLOOKUP(B23,consolidado_notas!B:E,4,0)</f>
        <v>1</v>
      </c>
      <c r="E23" s="15">
        <v>5</v>
      </c>
      <c r="F23" s="18">
        <v>5</v>
      </c>
      <c r="G23" s="18">
        <v>5</v>
      </c>
      <c r="H23" s="15">
        <f>IFERROR(VLOOKUP(D23&amp;H$2&amp;"Total",retroalimenación!D:F,3,0),"")</f>
        <v>4.8</v>
      </c>
      <c r="I23" s="15">
        <f>H23</f>
        <v>4.8</v>
      </c>
      <c r="J23" s="10" t="str">
        <f>IFERROR(VLOOKUP(B23,seguimientos_extra!A:C,3,0),"")</f>
        <v/>
      </c>
    </row>
    <row r="24" spans="1:10">
      <c r="A24" s="35" t="s">
        <v>104</v>
      </c>
      <c r="B24" s="35" t="s">
        <v>105</v>
      </c>
      <c r="C24" s="17">
        <f>IFERROR(ROUND(AVERAGE(E24:I24),1),"")</f>
        <v>4.8</v>
      </c>
      <c r="D24" s="10">
        <f>VLOOKUP(B24,consolidado_notas!B:E,4,0)</f>
        <v>7</v>
      </c>
      <c r="E24" s="15">
        <v>5</v>
      </c>
      <c r="F24" s="18">
        <v>5</v>
      </c>
      <c r="G24" s="18">
        <v>5</v>
      </c>
      <c r="H24" s="15">
        <f>IFERROR(VLOOKUP(D24&amp;H$2&amp;"Total",retroalimenación!D:F,3,0),"")</f>
        <v>4.5</v>
      </c>
      <c r="I24" s="15">
        <f>H24</f>
        <v>4.5</v>
      </c>
      <c r="J24" s="10" t="str">
        <f>IFERROR(VLOOKUP(B24,seguimientos_extra!A:C,3,0),"")</f>
        <v/>
      </c>
    </row>
    <row r="25" spans="1:10">
      <c r="A25" s="34" t="s">
        <v>78</v>
      </c>
      <c r="B25" s="34" t="s">
        <v>79</v>
      </c>
      <c r="C25" s="17">
        <f>IFERROR(ROUND(AVERAGE(E25:I25),1),"")</f>
        <v>4</v>
      </c>
      <c r="D25" s="10">
        <f>VLOOKUP(B25,consolidado_notas!B:E,4,0)</f>
        <v>2</v>
      </c>
      <c r="E25" s="15">
        <v>5</v>
      </c>
      <c r="F25" s="18">
        <v>5</v>
      </c>
      <c r="G25" s="18">
        <v>0</v>
      </c>
      <c r="H25" s="15">
        <f>IFERROR(VLOOKUP(D25&amp;H$2&amp;"Total",retroalimenación!D:F,3,0),"")</f>
        <v>5</v>
      </c>
      <c r="I25" s="15">
        <f>H25</f>
        <v>5</v>
      </c>
      <c r="J25" s="10" t="str">
        <f>IFERROR(VLOOKUP(B25,seguimientos_extra!A:C,3,0),"")</f>
        <v/>
      </c>
    </row>
    <row r="26" spans="1:10">
      <c r="A26" s="34" t="s">
        <v>82</v>
      </c>
      <c r="B26" s="34" t="s">
        <v>83</v>
      </c>
      <c r="C26" s="17">
        <f>IFERROR(ROUND(AVERAGE(E26:I26),1),"")</f>
        <v>3.7</v>
      </c>
      <c r="D26" s="10">
        <f>VLOOKUP(B26,consolidado_notas!B:E,4,0)</f>
        <v>3</v>
      </c>
      <c r="E26" s="15">
        <v>5</v>
      </c>
      <c r="F26" s="18">
        <v>5</v>
      </c>
      <c r="G26" s="18">
        <v>0</v>
      </c>
      <c r="H26" s="15">
        <f>IFERROR(VLOOKUP(D26&amp;H$2&amp;"Total",retroalimenación!D:F,3,0),"")</f>
        <v>4.2</v>
      </c>
      <c r="I26" s="15">
        <f>H26</f>
        <v>4.2</v>
      </c>
      <c r="J26" s="10" t="str">
        <f>IFERROR(VLOOKUP(B26,seguimientos_extra!A:C,3,0),"")</f>
        <v/>
      </c>
    </row>
    <row r="27" spans="1:10">
      <c r="A27" s="35" t="s">
        <v>102</v>
      </c>
      <c r="B27" s="35" t="s">
        <v>103</v>
      </c>
      <c r="C27" s="17">
        <f>IFERROR(ROUND(AVERAGE(E27:I27),1),"")</f>
        <v>3.9</v>
      </c>
      <c r="D27" s="10">
        <f>VLOOKUP(B27,consolidado_notas!B:E,4,0)</f>
        <v>1</v>
      </c>
      <c r="E27" s="15">
        <v>5</v>
      </c>
      <c r="F27" s="18">
        <v>5</v>
      </c>
      <c r="G27" s="18">
        <v>0</v>
      </c>
      <c r="H27" s="15">
        <f>IFERROR(VLOOKUP(D27&amp;H$2&amp;"Total",retroalimenación!D:F,3,0),"")</f>
        <v>4.8</v>
      </c>
      <c r="I27" s="15">
        <f>H27</f>
        <v>4.8</v>
      </c>
      <c r="J27" s="10" t="str">
        <f>IFERROR(VLOOKUP(B27,seguimientos_extra!A:C,3,0),"")</f>
        <v/>
      </c>
    </row>
  </sheetData>
  <autoFilter ref="A2:J2" xr:uid="{3259FA0F-60EB-4009-A03B-2632CF96E1D5}">
    <sortState xmlns:xlrd2="http://schemas.microsoft.com/office/spreadsheetml/2017/richdata2" ref="A3:J27">
      <sortCondition descending="1" ref="J2"/>
    </sortState>
  </autoFilter>
  <pageMargins left="0.7" right="0.7" top="0.75" bottom="0.75" header="0.3" footer="0.3"/>
  <pageSetup orientation="portrait" horizontalDpi="4294967292"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93743-2E31-4105-BDB6-9768794A8C96}">
  <dimension ref="A1:J27"/>
  <sheetViews>
    <sheetView workbookViewId="0">
      <selection activeCell="L12" sqref="L12"/>
    </sheetView>
  </sheetViews>
  <sheetFormatPr baseColWidth="10" defaultRowHeight="15"/>
  <cols>
    <col min="1" max="2" width="37.7109375" style="2" customWidth="1"/>
    <col min="3" max="3" width="16.85546875" customWidth="1"/>
    <col min="4" max="4" width="14.42578125" hidden="1" customWidth="1"/>
    <col min="5" max="5" width="21.42578125" style="1" customWidth="1"/>
    <col min="6" max="6" width="20.85546875" customWidth="1"/>
    <col min="7" max="7" width="15.28515625" customWidth="1"/>
    <col min="8" max="8" width="17.85546875" customWidth="1"/>
    <col min="9" max="9" width="18.28515625" customWidth="1"/>
  </cols>
  <sheetData>
    <row r="1" spans="1:10">
      <c r="C1" s="5"/>
      <c r="D1" s="33"/>
      <c r="E1" s="33"/>
      <c r="F1" s="33"/>
      <c r="G1" s="33"/>
      <c r="H1" s="33"/>
    </row>
    <row r="2" spans="1:10" ht="45">
      <c r="A2" s="7" t="s">
        <v>0</v>
      </c>
      <c r="B2" s="16" t="s">
        <v>1</v>
      </c>
      <c r="C2" s="11" t="s">
        <v>25</v>
      </c>
      <c r="D2" s="8" t="s">
        <v>53</v>
      </c>
      <c r="E2" s="14" t="s">
        <v>267</v>
      </c>
      <c r="F2" s="14" t="s">
        <v>269</v>
      </c>
      <c r="G2" s="14" t="s">
        <v>299</v>
      </c>
      <c r="H2" s="14" t="s">
        <v>300</v>
      </c>
      <c r="I2" s="14" t="s">
        <v>301</v>
      </c>
      <c r="J2" s="14" t="s">
        <v>310</v>
      </c>
    </row>
    <row r="3" spans="1:10">
      <c r="A3" s="35" t="s">
        <v>94</v>
      </c>
      <c r="B3" s="35" t="s">
        <v>95</v>
      </c>
      <c r="C3" s="36">
        <f>IFERROR(ROUND(AVERAGE(E3:I3),1),"")</f>
        <v>4.9000000000000004</v>
      </c>
      <c r="D3" s="10">
        <f>IFERROR(VLOOKUP(B3,consolidado_notas!B:E,4,0),"")</f>
        <v>4</v>
      </c>
      <c r="E3" s="15">
        <f>VLOOKUP(B3,seguimientos_extra!A:B,2,0)</f>
        <v>5</v>
      </c>
      <c r="F3" s="18">
        <f>E3</f>
        <v>5</v>
      </c>
      <c r="G3" s="15">
        <f>IFERROR(VLOOKUP(D3&amp;$G$2&amp;"Total",retroalimenación!D:F,3,0),"")</f>
        <v>4.5</v>
      </c>
      <c r="H3" s="15">
        <f>IFERROR(VLOOKUP(D3&amp;$H$2&amp;"Total",retroalimenación!D:F,3,0),"")</f>
        <v>5</v>
      </c>
      <c r="I3" s="15">
        <f>IFERROR(VLOOKUP(D3&amp;$I$2&amp;"Total",retroalimenación!D:F,3,0),"")</f>
        <v>5</v>
      </c>
      <c r="J3" s="10" t="str">
        <f>IFERROR(VLOOKUP(B3,seguimientos_extra!A:C,3,0),"")</f>
        <v>Sí</v>
      </c>
    </row>
    <row r="4" spans="1:10">
      <c r="A4" s="34" t="s">
        <v>73</v>
      </c>
      <c r="B4" s="34" t="s">
        <v>74</v>
      </c>
      <c r="C4" s="36">
        <f>IFERROR(ROUND(AVERAGE(E4:H4),1),"")</f>
        <v>4.5999999999999996</v>
      </c>
      <c r="D4" s="10">
        <f>IFERROR(VLOOKUP(B4,consolidado_notas!B:E,4,0),"")</f>
        <v>4</v>
      </c>
      <c r="E4" s="15">
        <f>VLOOKUP(B4,seguimientos_extra!A:B,2,0)</f>
        <v>4.5</v>
      </c>
      <c r="F4" s="18">
        <f t="shared" ref="F4:F10" si="0">E4</f>
        <v>4.5</v>
      </c>
      <c r="G4" s="15">
        <f>IFERROR(VLOOKUP(D4&amp;$G$2&amp;"Total",retroalimenación!D:F,3,0),"")</f>
        <v>4.5</v>
      </c>
      <c r="H4" s="15">
        <f>IFERROR(VLOOKUP(D4&amp;$H$2&amp;"Total",retroalimenación!D:F,3,0),"")</f>
        <v>5</v>
      </c>
      <c r="I4" s="15">
        <f>IFERROR(VLOOKUP(D4&amp;$I$2&amp;"Total",retroalimenación!D:F,3,0),"")</f>
        <v>5</v>
      </c>
      <c r="J4" s="10" t="str">
        <f>IFERROR(VLOOKUP(B4,seguimientos_extra!A:C,3,0),"")</f>
        <v>Sí</v>
      </c>
    </row>
    <row r="5" spans="1:10">
      <c r="A5" s="34" t="s">
        <v>57</v>
      </c>
      <c r="B5" s="34" t="s">
        <v>58</v>
      </c>
      <c r="C5" s="36">
        <f>IFERROR(ROUND(AVERAGE(E5:H5),1),"")</f>
        <v>3.6</v>
      </c>
      <c r="D5" s="10">
        <f>IFERROR(VLOOKUP(B5,consolidado_notas!B:E,4,0),"")</f>
        <v>5</v>
      </c>
      <c r="E5" s="15">
        <f>VLOOKUP(B5,seguimientos_extra!A:B,2,0)</f>
        <v>4.7</v>
      </c>
      <c r="F5" s="18">
        <f t="shared" si="0"/>
        <v>4.7</v>
      </c>
      <c r="G5" s="15">
        <f>IFERROR(VLOOKUP(D5&amp;$G$2&amp;"Total",retroalimenación!D:F,3,0),"")</f>
        <v>5</v>
      </c>
      <c r="H5" s="15">
        <f>IFERROR(VLOOKUP(D5&amp;$H$2&amp;"Total",retroalimenación!D:F,3,0),"")</f>
        <v>0</v>
      </c>
      <c r="I5" s="15">
        <f>IFERROR(VLOOKUP(D5&amp;$I$2&amp;"Total",retroalimenación!D:F,3,0),"")</f>
        <v>4.5</v>
      </c>
      <c r="J5" s="10" t="str">
        <f>IFERROR(VLOOKUP(B5,seguimientos_extra!A:C,3,0),"")</f>
        <v>Sí</v>
      </c>
    </row>
    <row r="6" spans="1:10">
      <c r="A6" s="34" t="s">
        <v>63</v>
      </c>
      <c r="B6" s="34" t="s">
        <v>64</v>
      </c>
      <c r="C6" s="36">
        <f>IFERROR(ROUND(AVERAGE(E6:H6),1),"")</f>
        <v>3.7</v>
      </c>
      <c r="D6" s="10">
        <f>IFERROR(VLOOKUP(B6,consolidado_notas!B:E,4,0),"")</f>
        <v>5</v>
      </c>
      <c r="E6" s="15">
        <f>VLOOKUP(B6,seguimientos_extra!A:B,2,0)</f>
        <v>4.8</v>
      </c>
      <c r="F6" s="18">
        <f t="shared" si="0"/>
        <v>4.8</v>
      </c>
      <c r="G6" s="15">
        <f>IFERROR(VLOOKUP(D6&amp;$G$2&amp;"Total",retroalimenación!D:F,3,0),"")</f>
        <v>5</v>
      </c>
      <c r="H6" s="15">
        <f>IFERROR(VLOOKUP(D6&amp;$H$2&amp;"Total",retroalimenación!D:F,3,0),"")</f>
        <v>0</v>
      </c>
      <c r="I6" s="15">
        <f>IFERROR(VLOOKUP(D6&amp;$I$2&amp;"Total",retroalimenación!D:F,3,0),"")</f>
        <v>4.5</v>
      </c>
      <c r="J6" s="10" t="str">
        <f>IFERROR(VLOOKUP(B6,seguimientos_extra!A:C,3,0),"")</f>
        <v>Sí</v>
      </c>
    </row>
    <row r="7" spans="1:10">
      <c r="A7" s="34" t="s">
        <v>80</v>
      </c>
      <c r="B7" s="34" t="s">
        <v>81</v>
      </c>
      <c r="C7" s="36">
        <f>IFERROR(ROUND(AVERAGE(E7:H7),1),"")</f>
        <v>3.8</v>
      </c>
      <c r="D7" s="10">
        <f>IFERROR(VLOOKUP(B7,consolidado_notas!B:E,4,0),"")</f>
        <v>5</v>
      </c>
      <c r="E7" s="15">
        <f>VLOOKUP(B7,seguimientos_extra!A:B,2,0)</f>
        <v>5</v>
      </c>
      <c r="F7" s="18">
        <f t="shared" si="0"/>
        <v>5</v>
      </c>
      <c r="G7" s="15">
        <f>IFERROR(VLOOKUP(D7&amp;$G$2&amp;"Total",retroalimenación!D:F,3,0),"")</f>
        <v>5</v>
      </c>
      <c r="H7" s="15">
        <f>IFERROR(VLOOKUP(D7&amp;$H$2&amp;"Total",retroalimenación!D:F,3,0),"")</f>
        <v>0</v>
      </c>
      <c r="I7" s="15">
        <f>IFERROR(VLOOKUP(D7&amp;$I$2&amp;"Total",retroalimenación!D:F,3,0),"")</f>
        <v>4.5</v>
      </c>
      <c r="J7" s="10" t="str">
        <f>IFERROR(VLOOKUP(B7,seguimientos_extra!A:C,3,0),"")</f>
        <v>Sí</v>
      </c>
    </row>
    <row r="8" spans="1:10">
      <c r="A8" s="35" t="s">
        <v>100</v>
      </c>
      <c r="B8" s="35" t="s">
        <v>101</v>
      </c>
      <c r="C8" s="36">
        <f>IFERROR(ROUND(AVERAGE(E8:H8),1),"")</f>
        <v>3.7</v>
      </c>
      <c r="D8" s="10">
        <f>IFERROR(VLOOKUP(B8,consolidado_notas!B:E,4,0),"")</f>
        <v>5</v>
      </c>
      <c r="E8" s="15">
        <f>VLOOKUP(B8,seguimientos_extra!A:B,2,0)</f>
        <v>4.8</v>
      </c>
      <c r="F8" s="18">
        <f t="shared" si="0"/>
        <v>4.8</v>
      </c>
      <c r="G8" s="15">
        <f>IFERROR(VLOOKUP(D8&amp;$G$2&amp;"Total",retroalimenación!D:F,3,0),"")</f>
        <v>5</v>
      </c>
      <c r="H8" s="15">
        <f>IFERROR(VLOOKUP(D8&amp;$H$2&amp;"Total",retroalimenación!D:F,3,0),"")</f>
        <v>0</v>
      </c>
      <c r="I8" s="15">
        <f>IFERROR(VLOOKUP(D8&amp;$I$2&amp;"Total",retroalimenación!D:F,3,0),"")</f>
        <v>4.5</v>
      </c>
      <c r="J8" s="10" t="str">
        <f>IFERROR(VLOOKUP(B8,seguimientos_extra!A:C,3,0),"")</f>
        <v>Sí</v>
      </c>
    </row>
    <row r="9" spans="1:10">
      <c r="A9" s="34" t="s">
        <v>61</v>
      </c>
      <c r="B9" s="34" t="s">
        <v>62</v>
      </c>
      <c r="C9" s="36">
        <f>IFERROR(ROUND(AVERAGE(E9:H9),1),"")</f>
        <v>2.2999999999999998</v>
      </c>
      <c r="D9" s="10">
        <f>IFERROR(VLOOKUP(B9,consolidado_notas!B:E,4,0),"")</f>
        <v>8</v>
      </c>
      <c r="E9" s="15">
        <f>VLOOKUP(B9,seguimientos_extra!A:B,2,0)</f>
        <v>4.5</v>
      </c>
      <c r="F9" s="18">
        <f t="shared" si="0"/>
        <v>4.5</v>
      </c>
      <c r="G9" s="15">
        <f>IFERROR(VLOOKUP(D9&amp;$G$2&amp;"Total",retroalimenación!D:F,3,0),"")</f>
        <v>0</v>
      </c>
      <c r="H9" s="15">
        <f>IFERROR(VLOOKUP(D9&amp;$H$2&amp;"Total",retroalimenación!D:F,3,0),"")</f>
        <v>0</v>
      </c>
      <c r="I9" s="15">
        <f>IFERROR(VLOOKUP(D9&amp;$I$2&amp;"Total",retroalimenación!D:F,3,0),"")</f>
        <v>3</v>
      </c>
      <c r="J9" s="10" t="str">
        <f>IFERROR(VLOOKUP(B9,seguimientos_extra!A:C,3,0),"")</f>
        <v>Sí</v>
      </c>
    </row>
    <row r="10" spans="1:10">
      <c r="A10" s="34" t="s">
        <v>84</v>
      </c>
      <c r="B10" s="34" t="s">
        <v>85</v>
      </c>
      <c r="C10" s="36">
        <f>IFERROR(ROUND(AVERAGE(E10:H10),1),"")</f>
        <v>2.2000000000000002</v>
      </c>
      <c r="D10" s="10">
        <f>IFERROR(VLOOKUP(B10,consolidado_notas!B:E,4,0),"")</f>
        <v>8</v>
      </c>
      <c r="E10" s="15">
        <f>VLOOKUP(B10,seguimientos_extra!A:B,2,0)</f>
        <v>4.4000000000000004</v>
      </c>
      <c r="F10" s="18">
        <f t="shared" si="0"/>
        <v>4.4000000000000004</v>
      </c>
      <c r="G10" s="15">
        <f>IFERROR(VLOOKUP(D10&amp;$G$2&amp;"Total",retroalimenación!D:F,3,0),"")</f>
        <v>0</v>
      </c>
      <c r="H10" s="15">
        <f>IFERROR(VLOOKUP(D10&amp;$H$2&amp;"Total",retroalimenación!D:F,3,0),"")</f>
        <v>0</v>
      </c>
      <c r="I10" s="15">
        <f>IFERROR(VLOOKUP(D10&amp;$I$2&amp;"Total",retroalimenación!D:F,3,0),"")</f>
        <v>3</v>
      </c>
      <c r="J10" s="10" t="str">
        <f>IFERROR(VLOOKUP(B10,seguimientos_extra!A:C,3,0),"")</f>
        <v>Sí</v>
      </c>
    </row>
    <row r="11" spans="1:10">
      <c r="A11" s="34" t="s">
        <v>71</v>
      </c>
      <c r="B11" s="34" t="s">
        <v>72</v>
      </c>
      <c r="C11" s="36">
        <f>IFERROR(ROUND(AVERAGE(E11:H11),1),"")</f>
        <v>4.9000000000000004</v>
      </c>
      <c r="D11" s="10">
        <f>IFERROR(VLOOKUP(B11,consolidado_notas!B:E,4,0),"")</f>
        <v>1</v>
      </c>
      <c r="E11" s="15">
        <v>5</v>
      </c>
      <c r="F11" s="18">
        <v>4.5</v>
      </c>
      <c r="G11" s="15">
        <f>IFERROR(VLOOKUP(D11&amp;$G$2&amp;"Total",retroalimenación!D:F,3,0),"")</f>
        <v>5</v>
      </c>
      <c r="H11" s="15">
        <f>IFERROR(VLOOKUP(D11&amp;$H$2&amp;"Total",retroalimenación!D:F,3,0),"")</f>
        <v>5</v>
      </c>
      <c r="I11" s="15">
        <f>IFERROR(VLOOKUP(D11&amp;$I$2&amp;"Total",retroalimenación!D:F,3,0),"")</f>
        <v>5</v>
      </c>
      <c r="J11" s="10" t="str">
        <f>IFERROR(VLOOKUP(B11,seguimientos_extra!A:C,3,0),"")</f>
        <v/>
      </c>
    </row>
    <row r="12" spans="1:10">
      <c r="A12" s="34" t="s">
        <v>55</v>
      </c>
      <c r="B12" s="34" t="s">
        <v>56</v>
      </c>
      <c r="C12" s="36">
        <f>IFERROR(ROUND(AVERAGE(E12:H12),1),"")</f>
        <v>4.9000000000000004</v>
      </c>
      <c r="D12" s="10">
        <f>IFERROR(VLOOKUP(B12,consolidado_notas!B:E,4,0),"")</f>
        <v>1</v>
      </c>
      <c r="E12" s="15">
        <v>5</v>
      </c>
      <c r="F12" s="18">
        <v>4.7</v>
      </c>
      <c r="G12" s="15">
        <f>IFERROR(VLOOKUP(D12&amp;$G$2&amp;"Total",retroalimenación!D:F,3,0),"")</f>
        <v>5</v>
      </c>
      <c r="H12" s="15">
        <f>IFERROR(VLOOKUP(D12&amp;$H$2&amp;"Total",retroalimenación!D:F,3,0),"")</f>
        <v>5</v>
      </c>
      <c r="I12" s="15">
        <f>IFERROR(VLOOKUP(D12&amp;$I$2&amp;"Total",retroalimenación!D:F,3,0),"")</f>
        <v>5</v>
      </c>
      <c r="J12" s="10" t="str">
        <f>IFERROR(VLOOKUP(B12,seguimientos_extra!A:C,3,0),"")</f>
        <v/>
      </c>
    </row>
    <row r="13" spans="1:10">
      <c r="A13" s="35" t="s">
        <v>98</v>
      </c>
      <c r="B13" s="35" t="s">
        <v>99</v>
      </c>
      <c r="C13" s="36">
        <f>IFERROR(ROUND(AVERAGE(E13:H13),1),"")</f>
        <v>4.9000000000000004</v>
      </c>
      <c r="D13" s="10">
        <f>IFERROR(VLOOKUP(B13,consolidado_notas!B:E,4,0),"")</f>
        <v>1</v>
      </c>
      <c r="E13" s="15">
        <v>4.7</v>
      </c>
      <c r="F13" s="18">
        <v>4.7</v>
      </c>
      <c r="G13" s="15">
        <f>IFERROR(VLOOKUP(D13&amp;$G$2&amp;"Total",retroalimenación!D:F,3,0),"")</f>
        <v>5</v>
      </c>
      <c r="H13" s="15">
        <f>IFERROR(VLOOKUP(D13&amp;$H$2&amp;"Total",retroalimenación!D:F,3,0),"")</f>
        <v>5</v>
      </c>
      <c r="I13" s="15">
        <f>IFERROR(VLOOKUP(D13&amp;$I$2&amp;"Total",retroalimenación!D:F,3,0),"")</f>
        <v>5</v>
      </c>
      <c r="J13" s="10" t="str">
        <f>IFERROR(VLOOKUP(B13,seguimientos_extra!A:C,3,0),"")</f>
        <v/>
      </c>
    </row>
    <row r="14" spans="1:10">
      <c r="A14" s="35" t="s">
        <v>102</v>
      </c>
      <c r="B14" s="35" t="s">
        <v>103</v>
      </c>
      <c r="C14" s="36">
        <f>IFERROR(ROUND(AVERAGE(E14:H14),1),"")</f>
        <v>3.7</v>
      </c>
      <c r="D14" s="10">
        <f>IFERROR(VLOOKUP(B14,consolidado_notas!B:E,4,0),"")</f>
        <v>1</v>
      </c>
      <c r="E14" s="15">
        <v>4.7</v>
      </c>
      <c r="F14" s="18">
        <v>0</v>
      </c>
      <c r="G14" s="15">
        <f>IFERROR(VLOOKUP(D14&amp;$G$2&amp;"Total",retroalimenación!D:F,3,0),"")</f>
        <v>5</v>
      </c>
      <c r="H14" s="15">
        <f>IFERROR(VLOOKUP(D14&amp;$H$2&amp;"Total",retroalimenación!D:F,3,0),"")</f>
        <v>5</v>
      </c>
      <c r="I14" s="15">
        <f>IFERROR(VLOOKUP(D14&amp;$I$2&amp;"Total",retroalimenación!D:F,3,0),"")</f>
        <v>5</v>
      </c>
      <c r="J14" s="10" t="str">
        <f>IFERROR(VLOOKUP(B14,seguimientos_extra!A:C,3,0),"")</f>
        <v/>
      </c>
    </row>
    <row r="15" spans="1:10">
      <c r="A15" s="34" t="s">
        <v>78</v>
      </c>
      <c r="B15" s="34" t="s">
        <v>79</v>
      </c>
      <c r="C15" s="36">
        <f>IFERROR(ROUND(AVERAGE(E15:H15),1),"")</f>
        <v>4.8</v>
      </c>
      <c r="D15" s="10">
        <f>IFERROR(VLOOKUP(B15,consolidado_notas!B:E,4,0),"")</f>
        <v>2</v>
      </c>
      <c r="E15" s="15">
        <v>4.5</v>
      </c>
      <c r="F15" s="18">
        <v>4.5</v>
      </c>
      <c r="G15" s="15">
        <f>IFERROR(VLOOKUP(D15&amp;$G$2&amp;"Total",retroalimenación!D:F,3,0),"")</f>
        <v>5</v>
      </c>
      <c r="H15" s="15">
        <f>IFERROR(VLOOKUP(D15&amp;$H$2&amp;"Total",retroalimenación!D:F,3,0),"")</f>
        <v>5</v>
      </c>
      <c r="I15" s="15">
        <f>IFERROR(VLOOKUP(D15&amp;$I$2&amp;"Total",retroalimenación!D:F,3,0),"")</f>
        <v>5</v>
      </c>
      <c r="J15" s="10" t="str">
        <f>IFERROR(VLOOKUP(B15,seguimientos_extra!A:C,3,0),"")</f>
        <v/>
      </c>
    </row>
    <row r="16" spans="1:10">
      <c r="A16" s="34" t="s">
        <v>59</v>
      </c>
      <c r="B16" s="34" t="s">
        <v>60</v>
      </c>
      <c r="C16" s="36">
        <f>IFERROR(ROUND(AVERAGE(E16:H16),1),"")</f>
        <v>4.9000000000000004</v>
      </c>
      <c r="D16" s="10">
        <f>IFERROR(VLOOKUP(B16,consolidado_notas!B:E,4,0),"")</f>
        <v>2</v>
      </c>
      <c r="E16" s="15">
        <v>5</v>
      </c>
      <c r="F16" s="18">
        <v>4.7</v>
      </c>
      <c r="G16" s="15">
        <f>IFERROR(VLOOKUP(D16&amp;$G$2&amp;"Total",retroalimenación!D:F,3,0),"")</f>
        <v>5</v>
      </c>
      <c r="H16" s="15">
        <f>IFERROR(VLOOKUP(D16&amp;$H$2&amp;"Total",retroalimenación!D:F,3,0),"")</f>
        <v>5</v>
      </c>
      <c r="I16" s="15">
        <f>IFERROR(VLOOKUP(D16&amp;$I$2&amp;"Total",retroalimenación!D:F,3,0),"")</f>
        <v>5</v>
      </c>
      <c r="J16" s="10" t="str">
        <f>IFERROR(VLOOKUP(B16,seguimientos_extra!A:C,3,0),"")</f>
        <v/>
      </c>
    </row>
    <row r="17" spans="1:10">
      <c r="A17" s="34" t="s">
        <v>67</v>
      </c>
      <c r="B17" s="34" t="s">
        <v>68</v>
      </c>
      <c r="C17" s="36">
        <f>IFERROR(ROUND(AVERAGE(E17:H17),1),"")</f>
        <v>5</v>
      </c>
      <c r="D17" s="10">
        <f>IFERROR(VLOOKUP(B17,consolidado_notas!B:E,4,0),"")</f>
        <v>2</v>
      </c>
      <c r="E17" s="15">
        <v>5</v>
      </c>
      <c r="F17" s="18">
        <v>5</v>
      </c>
      <c r="G17" s="15">
        <f>IFERROR(VLOOKUP(D17&amp;$G$2&amp;"Total",retroalimenación!D:F,3,0),"")</f>
        <v>5</v>
      </c>
      <c r="H17" s="15">
        <f>IFERROR(VLOOKUP(D17&amp;$H$2&amp;"Total",retroalimenación!D:F,3,0),"")</f>
        <v>5</v>
      </c>
      <c r="I17" s="15">
        <f>IFERROR(VLOOKUP(D17&amp;$I$2&amp;"Total",retroalimenación!D:F,3,0),"")</f>
        <v>5</v>
      </c>
      <c r="J17" s="10" t="str">
        <f>IFERROR(VLOOKUP(B17,seguimientos_extra!A:C,3,0),"")</f>
        <v/>
      </c>
    </row>
    <row r="18" spans="1:10">
      <c r="A18" s="35" t="s">
        <v>96</v>
      </c>
      <c r="B18" s="35" t="s">
        <v>97</v>
      </c>
      <c r="C18" s="36">
        <f>IFERROR(ROUND(AVERAGE(E18:H18),1),"")</f>
        <v>5</v>
      </c>
      <c r="D18" s="10">
        <f>IFERROR(VLOOKUP(B18,consolidado_notas!B:E,4,0),"")</f>
        <v>2</v>
      </c>
      <c r="E18" s="15">
        <v>5</v>
      </c>
      <c r="F18" s="18">
        <v>5</v>
      </c>
      <c r="G18" s="15">
        <f>IFERROR(VLOOKUP(D18&amp;$G$2&amp;"Total",retroalimenación!D:F,3,0),"")</f>
        <v>5</v>
      </c>
      <c r="H18" s="15">
        <f>IFERROR(VLOOKUP(D18&amp;$H$2&amp;"Total",retroalimenación!D:F,3,0),"")</f>
        <v>5</v>
      </c>
      <c r="I18" s="15">
        <f>IFERROR(VLOOKUP(D18&amp;$I$2&amp;"Total",retroalimenación!D:F,3,0),"")</f>
        <v>5</v>
      </c>
      <c r="J18" s="10" t="str">
        <f>IFERROR(VLOOKUP(B18,seguimientos_extra!A:C,3,0),"")</f>
        <v/>
      </c>
    </row>
    <row r="19" spans="1:10">
      <c r="A19" s="34" t="s">
        <v>65</v>
      </c>
      <c r="B19" s="34" t="s">
        <v>66</v>
      </c>
      <c r="C19" s="36">
        <f>IFERROR(ROUND(AVERAGE(E19:H19),1),"")</f>
        <v>4.3</v>
      </c>
      <c r="D19" s="10">
        <f>IFERROR(VLOOKUP(B19,consolidado_notas!B:E,4,0),"")</f>
        <v>3</v>
      </c>
      <c r="E19" s="15">
        <v>4.7</v>
      </c>
      <c r="F19" s="18">
        <v>5</v>
      </c>
      <c r="G19" s="15">
        <f>IFERROR(VLOOKUP(D19&amp;$G$2&amp;"Total",retroalimenación!D:F,3,0),"")</f>
        <v>4.5</v>
      </c>
      <c r="H19" s="15">
        <f>IFERROR(VLOOKUP(D19&amp;$H$2&amp;"Total",retroalimenación!D:F,3,0),"")</f>
        <v>3</v>
      </c>
      <c r="I19" s="15">
        <f>IFERROR(VLOOKUP(D19&amp;$I$2&amp;"Total",retroalimenación!D:F,3,0),"")</f>
        <v>4</v>
      </c>
      <c r="J19" s="10" t="str">
        <f>IFERROR(VLOOKUP(B19,seguimientos_extra!A:C,3,0),"")</f>
        <v/>
      </c>
    </row>
    <row r="20" spans="1:10">
      <c r="A20" s="34" t="s">
        <v>82</v>
      </c>
      <c r="B20" s="34" t="s">
        <v>83</v>
      </c>
      <c r="C20" s="36">
        <f>IFERROR(ROUND(AVERAGE(E20:H20),1),"")</f>
        <v>1.9</v>
      </c>
      <c r="D20" s="10">
        <f>IFERROR(VLOOKUP(B20,consolidado_notas!B:E,4,0),"")</f>
        <v>3</v>
      </c>
      <c r="E20" s="15">
        <v>0</v>
      </c>
      <c r="F20" s="18">
        <v>0</v>
      </c>
      <c r="G20" s="15">
        <f>IFERROR(VLOOKUP(D20&amp;$G$2&amp;"Total",retroalimenación!D:F,3,0),"")</f>
        <v>4.5</v>
      </c>
      <c r="H20" s="15">
        <f>IFERROR(VLOOKUP(D20&amp;$H$2&amp;"Total",retroalimenación!D:F,3,0),"")</f>
        <v>3</v>
      </c>
      <c r="I20" s="15">
        <f>IFERROR(VLOOKUP(D20&amp;$I$2&amp;"Total",retroalimenación!D:F,3,0),"")</f>
        <v>4</v>
      </c>
      <c r="J20" s="10" t="str">
        <f>IFERROR(VLOOKUP(B20,seguimientos_extra!A:C,3,0),"")</f>
        <v/>
      </c>
    </row>
    <row r="21" spans="1:10">
      <c r="A21" s="35" t="s">
        <v>90</v>
      </c>
      <c r="B21" s="35" t="s">
        <v>91</v>
      </c>
      <c r="C21" s="36">
        <f>IFERROR(ROUND(AVERAGE(E21:H21),1),"")</f>
        <v>1.9</v>
      </c>
      <c r="D21" s="10">
        <f>IFERROR(VLOOKUP(B21,consolidado_notas!B:E,4,0),"")</f>
        <v>3</v>
      </c>
      <c r="E21" s="15">
        <v>0</v>
      </c>
      <c r="F21" s="18">
        <v>0</v>
      </c>
      <c r="G21" s="15">
        <f>IFERROR(VLOOKUP(D21&amp;$G$2&amp;"Total",retroalimenación!D:F,3,0),"")</f>
        <v>4.5</v>
      </c>
      <c r="H21" s="15">
        <f>IFERROR(VLOOKUP(D21&amp;$H$2&amp;"Total",retroalimenación!D:F,3,0),"")</f>
        <v>3</v>
      </c>
      <c r="I21" s="15">
        <f>IFERROR(VLOOKUP(D21&amp;$I$2&amp;"Total",retroalimenación!D:F,3,0),"")</f>
        <v>4</v>
      </c>
      <c r="J21" s="10" t="str">
        <f>IFERROR(VLOOKUP(B21,seguimientos_extra!A:C,3,0),"")</f>
        <v/>
      </c>
    </row>
    <row r="22" spans="1:10">
      <c r="A22" s="35" t="s">
        <v>92</v>
      </c>
      <c r="B22" s="35" t="s">
        <v>93</v>
      </c>
      <c r="C22" s="36">
        <f>IFERROR(ROUND(AVERAGE(E22:H22),1),"")</f>
        <v>2.4</v>
      </c>
      <c r="D22" s="10">
        <f>IFERROR(VLOOKUP(B22,consolidado_notas!B:E,4,0),"")</f>
        <v>4</v>
      </c>
      <c r="E22" s="15">
        <v>0</v>
      </c>
      <c r="F22" s="18">
        <v>0</v>
      </c>
      <c r="G22" s="15">
        <f>IFERROR(VLOOKUP(D22&amp;$G$2&amp;"Total",retroalimenación!D:F,3,0),"")</f>
        <v>4.5</v>
      </c>
      <c r="H22" s="15">
        <f>IFERROR(VLOOKUP(D22&amp;$H$2&amp;"Total",retroalimenación!D:F,3,0),"")</f>
        <v>5</v>
      </c>
      <c r="I22" s="15">
        <f>IFERROR(VLOOKUP(D22&amp;$I$2&amp;"Total",retroalimenación!D:F,3,0),"")</f>
        <v>5</v>
      </c>
      <c r="J22" s="10" t="str">
        <f>IFERROR(VLOOKUP(B22,seguimientos_extra!A:C,3,0),"")</f>
        <v/>
      </c>
    </row>
    <row r="23" spans="1:10">
      <c r="A23" s="34" t="s">
        <v>76</v>
      </c>
      <c r="B23" s="34" t="s">
        <v>77</v>
      </c>
      <c r="C23" s="36">
        <f>IFERROR(ROUND(AVERAGE(E23:H23),1),"")</f>
        <v>4.4000000000000004</v>
      </c>
      <c r="D23" s="10">
        <f>IFERROR(VLOOKUP(B23,consolidado_notas!B:E,4,0),"")</f>
        <v>7</v>
      </c>
      <c r="E23" s="15">
        <v>4.5</v>
      </c>
      <c r="F23" s="18">
        <v>4.5</v>
      </c>
      <c r="G23" s="15">
        <f>IFERROR(VLOOKUP(D23&amp;$G$2&amp;"Total",retroalimenación!D:F,3,0),"")</f>
        <v>4.5</v>
      </c>
      <c r="H23" s="15">
        <f>IFERROR(VLOOKUP(D23&amp;$H$2&amp;"Total",retroalimenación!D:F,3,0),"")</f>
        <v>4</v>
      </c>
      <c r="I23" s="15">
        <f>IFERROR(VLOOKUP(D23&amp;$I$2&amp;"Total",retroalimenación!D:F,3,0),"")</f>
        <v>4.5</v>
      </c>
      <c r="J23" s="10" t="str">
        <f>IFERROR(VLOOKUP(B23,seguimientos_extra!A:C,3,0),"")</f>
        <v/>
      </c>
    </row>
    <row r="24" spans="1:10">
      <c r="A24" s="34" t="s">
        <v>86</v>
      </c>
      <c r="B24" s="34" t="s">
        <v>87</v>
      </c>
      <c r="C24" s="36">
        <f>IFERROR(ROUND(AVERAGE(E24:H24),1),"")</f>
        <v>4.5</v>
      </c>
      <c r="D24" s="10">
        <f>IFERROR(VLOOKUP(B24,consolidado_notas!B:E,4,0),"")</f>
        <v>7</v>
      </c>
      <c r="E24" s="15">
        <v>5</v>
      </c>
      <c r="F24" s="18">
        <v>4.5</v>
      </c>
      <c r="G24" s="15">
        <f>IFERROR(VLOOKUP(D24&amp;$G$2&amp;"Total",retroalimenación!D:F,3,0),"")</f>
        <v>4.5</v>
      </c>
      <c r="H24" s="15">
        <f>IFERROR(VLOOKUP(D24&amp;$H$2&amp;"Total",retroalimenación!D:F,3,0),"")</f>
        <v>4</v>
      </c>
      <c r="I24" s="15">
        <f>IFERROR(VLOOKUP(D24&amp;$I$2&amp;"Total",retroalimenación!D:F,3,0),"")</f>
        <v>4.5</v>
      </c>
      <c r="J24" s="10" t="str">
        <f>IFERROR(VLOOKUP(B24,seguimientos_extra!A:C,3,0),"")</f>
        <v/>
      </c>
    </row>
    <row r="25" spans="1:10">
      <c r="A25" s="34" t="s">
        <v>88</v>
      </c>
      <c r="B25" s="34" t="s">
        <v>89</v>
      </c>
      <c r="C25" s="36">
        <f>IFERROR(ROUND(AVERAGE(E25:H25),1),"")</f>
        <v>3.3</v>
      </c>
      <c r="D25" s="10">
        <f>IFERROR(VLOOKUP(B25,consolidado_notas!B:E,4,0),"")</f>
        <v>7</v>
      </c>
      <c r="E25" s="15">
        <v>0</v>
      </c>
      <c r="F25" s="18">
        <v>4.5</v>
      </c>
      <c r="G25" s="15">
        <f>IFERROR(VLOOKUP(D25&amp;$G$2&amp;"Total",retroalimenación!D:F,3,0),"")</f>
        <v>4.5</v>
      </c>
      <c r="H25" s="15">
        <f>IFERROR(VLOOKUP(D25&amp;$H$2&amp;"Total",retroalimenación!D:F,3,0),"")</f>
        <v>4</v>
      </c>
      <c r="I25" s="15">
        <f>IFERROR(VLOOKUP(D25&amp;$I$2&amp;"Total",retroalimenación!D:F,3,0),"")</f>
        <v>4.5</v>
      </c>
      <c r="J25" s="10" t="str">
        <f>IFERROR(VLOOKUP(B25,seguimientos_extra!A:C,3,0),"")</f>
        <v/>
      </c>
    </row>
    <row r="26" spans="1:10">
      <c r="A26" s="35" t="s">
        <v>104</v>
      </c>
      <c r="B26" s="35" t="s">
        <v>105</v>
      </c>
      <c r="C26" s="36">
        <f>IFERROR(ROUND(AVERAGE(E26:H26),1),"")</f>
        <v>2.1</v>
      </c>
      <c r="D26" s="10">
        <f>IFERROR(VLOOKUP(B26,consolidado_notas!B:E,4,0),"")</f>
        <v>7</v>
      </c>
      <c r="E26" s="15">
        <v>0</v>
      </c>
      <c r="F26" s="18">
        <v>0</v>
      </c>
      <c r="G26" s="15">
        <f>IFERROR(VLOOKUP(D26&amp;$G$2&amp;"Total",retroalimenación!D:F,3,0),"")</f>
        <v>4.5</v>
      </c>
      <c r="H26" s="15">
        <f>IFERROR(VLOOKUP(D26&amp;$H$2&amp;"Total",retroalimenación!D:F,3,0),"")</f>
        <v>4</v>
      </c>
      <c r="I26" s="15">
        <f>IFERROR(VLOOKUP(D26&amp;$I$2&amp;"Total",retroalimenación!D:F,3,0),"")</f>
        <v>4.5</v>
      </c>
      <c r="J26" s="10" t="str">
        <f>IFERROR(VLOOKUP(B26,seguimientos_extra!A:C,3,0),"")</f>
        <v/>
      </c>
    </row>
    <row r="27" spans="1:10">
      <c r="A27" s="34" t="s">
        <v>69</v>
      </c>
      <c r="B27" s="34" t="s">
        <v>70</v>
      </c>
      <c r="C27" s="36">
        <f>IFERROR(ROUND(AVERAGE(E27:H27),1),"")</f>
        <v>0</v>
      </c>
      <c r="D27" s="10">
        <f>IFERROR(VLOOKUP(B27,consolidado_notas!B:E,4,0),"")</f>
        <v>8</v>
      </c>
      <c r="E27" s="15">
        <v>0</v>
      </c>
      <c r="F27" s="18">
        <v>0</v>
      </c>
      <c r="G27" s="15">
        <f>IFERROR(VLOOKUP(D27&amp;$G$2&amp;"Total",retroalimenación!D:F,3,0),"")</f>
        <v>0</v>
      </c>
      <c r="H27" s="15">
        <f>IFERROR(VLOOKUP(D27&amp;$H$2&amp;"Total",retroalimenación!D:F,3,0),"")</f>
        <v>0</v>
      </c>
      <c r="I27" s="15">
        <f>IFERROR(VLOOKUP(D27&amp;$I$2&amp;"Total",retroalimenación!D:F,3,0),"")</f>
        <v>3</v>
      </c>
      <c r="J27" s="10" t="str">
        <f>IFERROR(VLOOKUP(B27,seguimientos_extra!A:C,3,0),"")</f>
        <v/>
      </c>
    </row>
  </sheetData>
  <autoFilter ref="A2:J2" xr:uid="{D7A93743-2E31-4105-BDB6-9768794A8C96}">
    <sortState xmlns:xlrd2="http://schemas.microsoft.com/office/spreadsheetml/2017/richdata2" ref="A3:J27">
      <sortCondition descending="1" ref="J2"/>
    </sortState>
  </autoFilter>
  <pageMargins left="0.7" right="0.7" top="0.75" bottom="0.75" header="0.3" footer="0.3"/>
  <pageSetup orientation="portrait" horizontalDpi="4294967292"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533AE-F562-4CAD-BBB8-4904F11E0A53}">
  <dimension ref="A2:J39"/>
  <sheetViews>
    <sheetView workbookViewId="0">
      <selection activeCell="I23" sqref="I23"/>
    </sheetView>
  </sheetViews>
  <sheetFormatPr baseColWidth="10" defaultRowHeight="15"/>
  <cols>
    <col min="1" max="1" width="44.7109375" customWidth="1"/>
    <col min="2" max="2" width="40.5703125" customWidth="1"/>
    <col min="3" max="3" width="22" style="1" customWidth="1"/>
    <col min="4" max="4" width="20.7109375" customWidth="1"/>
    <col min="5" max="5" width="32.7109375" customWidth="1"/>
    <col min="6" max="6" width="29.7109375" customWidth="1"/>
    <col min="7" max="7" width="18" customWidth="1"/>
    <col min="8" max="8" width="14.5703125" customWidth="1"/>
    <col min="9" max="9" width="15.5703125" customWidth="1"/>
  </cols>
  <sheetData>
    <row r="2" spans="1:10" ht="30">
      <c r="A2" s="7" t="s">
        <v>0</v>
      </c>
      <c r="B2" s="7" t="s">
        <v>1</v>
      </c>
      <c r="C2" s="8" t="s">
        <v>26</v>
      </c>
      <c r="D2" s="8" t="s">
        <v>110</v>
      </c>
      <c r="E2" s="8" t="s">
        <v>262</v>
      </c>
      <c r="F2" s="8" t="s">
        <v>263</v>
      </c>
      <c r="G2" s="8" t="s">
        <v>268</v>
      </c>
      <c r="H2" s="8" t="s">
        <v>270</v>
      </c>
      <c r="I2" s="8" t="s">
        <v>311</v>
      </c>
      <c r="J2" s="13" t="s">
        <v>48</v>
      </c>
    </row>
    <row r="3" spans="1:10">
      <c r="A3" s="34" t="s">
        <v>55</v>
      </c>
      <c r="B3" s="34" t="s">
        <v>56</v>
      </c>
      <c r="C3" s="13">
        <f>SUM(D3:R3)</f>
        <v>0.4</v>
      </c>
      <c r="D3" s="10"/>
      <c r="E3" s="10"/>
      <c r="F3" s="10">
        <v>0.2</v>
      </c>
      <c r="G3" s="10">
        <v>0.2</v>
      </c>
      <c r="H3" s="10"/>
      <c r="I3" s="10"/>
      <c r="J3" s="10"/>
    </row>
    <row r="4" spans="1:10">
      <c r="A4" s="34" t="s">
        <v>57</v>
      </c>
      <c r="B4" s="34" t="s">
        <v>58</v>
      </c>
      <c r="C4" s="13">
        <f t="shared" ref="C4:C27" si="0">SUM(D4:R4)</f>
        <v>0</v>
      </c>
      <c r="D4" s="10"/>
      <c r="E4" s="10"/>
      <c r="F4" s="10"/>
      <c r="G4" s="10"/>
      <c r="H4" s="10"/>
      <c r="I4" s="10"/>
      <c r="J4" s="10"/>
    </row>
    <row r="5" spans="1:10">
      <c r="A5" s="34" t="s">
        <v>59</v>
      </c>
      <c r="B5" s="34" t="s">
        <v>60</v>
      </c>
      <c r="C5" s="13">
        <f t="shared" si="0"/>
        <v>0.60000000000000009</v>
      </c>
      <c r="D5" s="10">
        <v>0.2</v>
      </c>
      <c r="E5" s="10"/>
      <c r="F5" s="10">
        <v>0.2</v>
      </c>
      <c r="G5" s="10">
        <v>0.2</v>
      </c>
      <c r="H5" s="10"/>
      <c r="I5" s="10"/>
      <c r="J5" s="10"/>
    </row>
    <row r="6" spans="1:10">
      <c r="A6" s="34" t="s">
        <v>61</v>
      </c>
      <c r="B6" s="34" t="s">
        <v>62</v>
      </c>
      <c r="C6" s="13">
        <f t="shared" si="0"/>
        <v>0</v>
      </c>
      <c r="D6" s="10"/>
      <c r="E6" s="10"/>
      <c r="F6" s="10"/>
      <c r="G6" s="10"/>
      <c r="H6" s="10"/>
      <c r="I6" s="10"/>
      <c r="J6" s="10"/>
    </row>
    <row r="7" spans="1:10">
      <c r="A7" s="34" t="s">
        <v>63</v>
      </c>
      <c r="B7" s="34" t="s">
        <v>64</v>
      </c>
      <c r="C7" s="13">
        <f t="shared" si="0"/>
        <v>0</v>
      </c>
      <c r="D7" s="10"/>
      <c r="E7" s="10"/>
      <c r="F7" s="10"/>
      <c r="G7" s="10"/>
      <c r="H7" s="10"/>
      <c r="I7" s="10"/>
      <c r="J7" s="10"/>
    </row>
    <row r="8" spans="1:10">
      <c r="A8" s="35" t="s">
        <v>65</v>
      </c>
      <c r="B8" s="35" t="s">
        <v>66</v>
      </c>
      <c r="C8" s="13">
        <f t="shared" si="0"/>
        <v>0.4</v>
      </c>
      <c r="D8" s="10"/>
      <c r="E8" s="10">
        <v>0.2</v>
      </c>
      <c r="F8" s="10"/>
      <c r="G8" s="10"/>
      <c r="H8" s="10">
        <v>0.2</v>
      </c>
      <c r="I8" s="10"/>
      <c r="J8" s="10"/>
    </row>
    <row r="9" spans="1:10">
      <c r="A9" s="34" t="s">
        <v>67</v>
      </c>
      <c r="B9" s="34" t="s">
        <v>68</v>
      </c>
      <c r="C9" s="13">
        <f t="shared" si="0"/>
        <v>0.60000000000000009</v>
      </c>
      <c r="D9" s="10"/>
      <c r="E9" s="10">
        <v>0.2</v>
      </c>
      <c r="F9" s="10">
        <v>0.2</v>
      </c>
      <c r="G9" s="10"/>
      <c r="H9" s="10">
        <v>0.2</v>
      </c>
      <c r="I9" s="10"/>
      <c r="J9" s="10"/>
    </row>
    <row r="10" spans="1:10">
      <c r="A10" s="34" t="s">
        <v>69</v>
      </c>
      <c r="B10" s="34" t="s">
        <v>70</v>
      </c>
      <c r="C10" s="13">
        <f t="shared" si="0"/>
        <v>0</v>
      </c>
      <c r="D10" s="10"/>
      <c r="E10" s="10"/>
      <c r="F10" s="10"/>
      <c r="G10" s="10"/>
      <c r="H10" s="10"/>
      <c r="I10" s="10"/>
      <c r="J10" s="10"/>
    </row>
    <row r="11" spans="1:10">
      <c r="A11" s="34" t="s">
        <v>71</v>
      </c>
      <c r="B11" s="34" t="s">
        <v>72</v>
      </c>
      <c r="C11" s="13">
        <f t="shared" si="0"/>
        <v>0.2</v>
      </c>
      <c r="D11" s="10"/>
      <c r="E11" s="10"/>
      <c r="F11" s="10">
        <v>0.2</v>
      </c>
      <c r="G11" s="10"/>
      <c r="H11" s="10"/>
      <c r="I11" s="10"/>
      <c r="J11" s="10"/>
    </row>
    <row r="12" spans="1:10">
      <c r="A12" s="34" t="s">
        <v>73</v>
      </c>
      <c r="B12" s="34" t="s">
        <v>74</v>
      </c>
      <c r="C12" s="13">
        <f t="shared" si="0"/>
        <v>0.2</v>
      </c>
      <c r="D12" s="10">
        <v>0.2</v>
      </c>
      <c r="E12" s="10"/>
      <c r="F12" s="10"/>
      <c r="G12" s="10"/>
      <c r="H12" s="10"/>
      <c r="I12" s="10"/>
      <c r="J12" s="10"/>
    </row>
    <row r="13" spans="1:10">
      <c r="A13" s="34" t="s">
        <v>76</v>
      </c>
      <c r="B13" s="34" t="s">
        <v>77</v>
      </c>
      <c r="C13" s="13">
        <f t="shared" si="0"/>
        <v>0</v>
      </c>
      <c r="D13" s="10"/>
      <c r="E13" s="10"/>
      <c r="F13" s="10"/>
      <c r="G13" s="10"/>
      <c r="H13" s="10"/>
      <c r="I13" s="10"/>
      <c r="J13" s="10"/>
    </row>
    <row r="14" spans="1:10">
      <c r="A14" s="34" t="s">
        <v>78</v>
      </c>
      <c r="B14" s="34" t="s">
        <v>79</v>
      </c>
      <c r="C14" s="13">
        <f t="shared" si="0"/>
        <v>0</v>
      </c>
      <c r="D14" s="10"/>
      <c r="E14" s="10"/>
      <c r="F14" s="10"/>
      <c r="G14" s="10"/>
      <c r="H14" s="10"/>
      <c r="I14" s="10"/>
      <c r="J14" s="10"/>
    </row>
    <row r="15" spans="1:10">
      <c r="A15" s="34" t="s">
        <v>80</v>
      </c>
      <c r="B15" s="34" t="s">
        <v>81</v>
      </c>
      <c r="C15" s="13">
        <f t="shared" si="0"/>
        <v>0</v>
      </c>
      <c r="D15" s="10"/>
      <c r="E15" s="10"/>
      <c r="F15" s="10"/>
      <c r="G15" s="10"/>
      <c r="H15" s="10"/>
      <c r="I15" s="10"/>
      <c r="J15" s="10"/>
    </row>
    <row r="16" spans="1:10">
      <c r="A16" s="34" t="s">
        <v>82</v>
      </c>
      <c r="B16" s="34" t="s">
        <v>83</v>
      </c>
      <c r="C16" s="13">
        <f t="shared" si="0"/>
        <v>0</v>
      </c>
      <c r="D16" s="10"/>
      <c r="E16" s="10"/>
      <c r="F16" s="10"/>
      <c r="G16" s="10"/>
      <c r="H16" s="10"/>
      <c r="I16" s="10"/>
      <c r="J16" s="10"/>
    </row>
    <row r="17" spans="1:10">
      <c r="A17" s="34" t="s">
        <v>84</v>
      </c>
      <c r="B17" s="34" t="s">
        <v>85</v>
      </c>
      <c r="C17" s="13">
        <f t="shared" si="0"/>
        <v>0</v>
      </c>
      <c r="D17" s="10"/>
      <c r="E17" s="10"/>
      <c r="F17" s="10"/>
      <c r="G17" s="10"/>
      <c r="H17" s="10"/>
      <c r="I17" s="10"/>
      <c r="J17" s="10"/>
    </row>
    <row r="18" spans="1:10">
      <c r="A18" s="34" t="s">
        <v>86</v>
      </c>
      <c r="B18" s="34" t="s">
        <v>87</v>
      </c>
      <c r="C18" s="13">
        <f t="shared" si="0"/>
        <v>0.4</v>
      </c>
      <c r="D18" s="10"/>
      <c r="E18" s="10"/>
      <c r="F18" s="10">
        <v>0.2</v>
      </c>
      <c r="G18" s="10">
        <v>0.2</v>
      </c>
      <c r="H18" s="10"/>
      <c r="I18" s="10"/>
      <c r="J18" s="10"/>
    </row>
    <row r="19" spans="1:10">
      <c r="A19" s="34" t="s">
        <v>88</v>
      </c>
      <c r="B19" s="34" t="s">
        <v>89</v>
      </c>
      <c r="C19" s="13">
        <f t="shared" si="0"/>
        <v>0</v>
      </c>
      <c r="D19" s="10"/>
      <c r="E19" s="10"/>
      <c r="F19" s="10"/>
      <c r="G19" s="10"/>
      <c r="H19" s="10"/>
      <c r="I19" s="10"/>
      <c r="J19" s="10"/>
    </row>
    <row r="20" spans="1:10">
      <c r="A20" s="34" t="s">
        <v>90</v>
      </c>
      <c r="B20" s="34" t="s">
        <v>91</v>
      </c>
      <c r="C20" s="13">
        <f t="shared" si="0"/>
        <v>0</v>
      </c>
      <c r="D20" s="10"/>
      <c r="E20" s="10"/>
      <c r="F20" s="10"/>
      <c r="G20" s="10"/>
      <c r="H20" s="10"/>
      <c r="I20" s="10"/>
      <c r="J20" s="10"/>
    </row>
    <row r="21" spans="1:10">
      <c r="A21" s="34" t="s">
        <v>92</v>
      </c>
      <c r="B21" s="34" t="s">
        <v>93</v>
      </c>
      <c r="C21" s="13">
        <f t="shared" si="0"/>
        <v>0</v>
      </c>
      <c r="D21" s="10"/>
      <c r="E21" s="10"/>
      <c r="F21" s="10"/>
      <c r="G21" s="10"/>
      <c r="H21" s="10"/>
      <c r="I21" s="10"/>
      <c r="J21" s="10"/>
    </row>
    <row r="22" spans="1:10">
      <c r="A22" s="34" t="s">
        <v>94</v>
      </c>
      <c r="B22" s="34" t="s">
        <v>95</v>
      </c>
      <c r="C22" s="13">
        <f t="shared" si="0"/>
        <v>1</v>
      </c>
      <c r="D22" s="10"/>
      <c r="E22" s="10"/>
      <c r="F22" s="10"/>
      <c r="G22" s="10"/>
      <c r="H22" s="10"/>
      <c r="I22" s="10">
        <v>1</v>
      </c>
      <c r="J22" s="10"/>
    </row>
    <row r="23" spans="1:10">
      <c r="A23" s="34" t="s">
        <v>96</v>
      </c>
      <c r="B23" s="34" t="s">
        <v>97</v>
      </c>
      <c r="C23" s="13">
        <f t="shared" si="0"/>
        <v>0.4</v>
      </c>
      <c r="D23" s="10"/>
      <c r="E23" s="10"/>
      <c r="F23" s="10">
        <v>0.2</v>
      </c>
      <c r="G23" s="10"/>
      <c r="H23" s="10">
        <v>0.2</v>
      </c>
      <c r="I23" s="10"/>
      <c r="J23" s="10"/>
    </row>
    <row r="24" spans="1:10">
      <c r="A24" s="34" t="s">
        <v>98</v>
      </c>
      <c r="B24" s="34" t="s">
        <v>99</v>
      </c>
      <c r="C24" s="13">
        <f t="shared" si="0"/>
        <v>0.60000000000000009</v>
      </c>
      <c r="D24" s="10">
        <v>0.2</v>
      </c>
      <c r="E24" s="10">
        <v>0.2</v>
      </c>
      <c r="F24" s="10">
        <v>0.2</v>
      </c>
      <c r="G24" s="10"/>
      <c r="H24" s="10"/>
      <c r="I24" s="10"/>
      <c r="J24" s="10"/>
    </row>
    <row r="25" spans="1:10">
      <c r="A25" s="35" t="s">
        <v>100</v>
      </c>
      <c r="B25" s="35" t="s">
        <v>101</v>
      </c>
      <c r="C25" s="13">
        <f t="shared" si="0"/>
        <v>0</v>
      </c>
      <c r="D25" s="10"/>
      <c r="E25" s="10"/>
      <c r="F25" s="10"/>
      <c r="G25" s="10"/>
      <c r="H25" s="10"/>
      <c r="I25" s="10"/>
      <c r="J25" s="10"/>
    </row>
    <row r="26" spans="1:10">
      <c r="A26" s="35" t="s">
        <v>102</v>
      </c>
      <c r="B26" s="35" t="s">
        <v>103</v>
      </c>
      <c r="C26" s="13">
        <f t="shared" si="0"/>
        <v>0.4</v>
      </c>
      <c r="D26" s="10">
        <v>0.2</v>
      </c>
      <c r="E26" s="10">
        <v>0.2</v>
      </c>
      <c r="F26" s="10"/>
      <c r="G26" s="10"/>
      <c r="H26" s="10"/>
      <c r="I26" s="10"/>
      <c r="J26" s="10"/>
    </row>
    <row r="27" spans="1:10">
      <c r="A27" s="35" t="s">
        <v>104</v>
      </c>
      <c r="B27" s="35" t="s">
        <v>105</v>
      </c>
      <c r="C27" s="13">
        <f t="shared" si="0"/>
        <v>0</v>
      </c>
      <c r="D27" s="10"/>
      <c r="E27" s="10"/>
      <c r="F27" s="10"/>
      <c r="G27" s="10"/>
      <c r="H27" s="10"/>
      <c r="I27" s="10"/>
      <c r="J27" s="10"/>
    </row>
    <row r="28" spans="1:10">
      <c r="A28" s="5"/>
      <c r="B28" s="5"/>
      <c r="C28" s="13"/>
      <c r="D28" s="10"/>
      <c r="E28" s="10"/>
      <c r="F28" s="10"/>
      <c r="G28" s="10"/>
      <c r="H28" s="10"/>
      <c r="I28" s="10"/>
      <c r="J28" s="10"/>
    </row>
    <row r="29" spans="1:10">
      <c r="A29" s="5"/>
      <c r="B29" s="5"/>
      <c r="C29" s="13"/>
      <c r="D29" s="10"/>
      <c r="E29" s="10"/>
      <c r="F29" s="10"/>
      <c r="G29" s="10"/>
      <c r="H29" s="10"/>
      <c r="I29" s="10"/>
      <c r="J29" s="10"/>
    </row>
    <row r="30" spans="1:10">
      <c r="A30" s="5"/>
      <c r="B30" s="5"/>
      <c r="C30" s="13"/>
      <c r="D30" s="10"/>
      <c r="E30" s="10"/>
      <c r="F30" s="10"/>
      <c r="G30" s="10"/>
      <c r="H30" s="10"/>
      <c r="I30" s="10"/>
      <c r="J30" s="10"/>
    </row>
    <row r="31" spans="1:10">
      <c r="A31" s="5"/>
      <c r="B31" s="5"/>
      <c r="C31" s="13"/>
      <c r="D31" s="10"/>
      <c r="E31" s="10"/>
      <c r="F31" s="10"/>
      <c r="G31" s="10"/>
      <c r="H31" s="10"/>
      <c r="I31" s="10"/>
      <c r="J31" s="10"/>
    </row>
    <row r="32" spans="1:10">
      <c r="A32" s="5"/>
      <c r="B32" s="5"/>
      <c r="C32" s="13"/>
      <c r="D32" s="10"/>
      <c r="E32" s="10"/>
      <c r="F32" s="10"/>
      <c r="G32" s="10"/>
      <c r="H32" s="10"/>
      <c r="I32" s="10"/>
      <c r="J32" s="10"/>
    </row>
    <row r="33" spans="1:10">
      <c r="A33" s="5"/>
      <c r="B33" s="5"/>
      <c r="C33" s="13"/>
      <c r="D33" s="10"/>
      <c r="E33" s="10"/>
      <c r="F33" s="10"/>
      <c r="G33" s="10"/>
      <c r="H33" s="10"/>
      <c r="I33" s="10"/>
      <c r="J33" s="10"/>
    </row>
    <row r="34" spans="1:10">
      <c r="A34" s="5"/>
      <c r="B34" s="5"/>
      <c r="C34" s="13"/>
      <c r="D34" s="10"/>
      <c r="E34" s="10"/>
      <c r="F34" s="10"/>
      <c r="G34" s="10"/>
      <c r="H34" s="10"/>
      <c r="I34" s="10"/>
      <c r="J34" s="10"/>
    </row>
    <row r="35" spans="1:10">
      <c r="A35" s="5"/>
      <c r="B35" s="5"/>
      <c r="C35" s="13"/>
      <c r="D35" s="10"/>
      <c r="E35" s="10"/>
      <c r="F35" s="10"/>
      <c r="G35" s="10"/>
      <c r="H35" s="10"/>
      <c r="I35" s="10"/>
      <c r="J35" s="10"/>
    </row>
    <row r="36" spans="1:10">
      <c r="A36" s="5"/>
      <c r="B36" s="5"/>
      <c r="C36" s="13"/>
      <c r="D36" s="10"/>
      <c r="E36" s="10"/>
      <c r="F36" s="10"/>
      <c r="G36" s="10"/>
      <c r="H36" s="10"/>
      <c r="I36" s="10"/>
      <c r="J36" s="10"/>
    </row>
    <row r="37" spans="1:10">
      <c r="A37" s="5"/>
      <c r="B37" s="5"/>
      <c r="C37" s="13"/>
      <c r="D37" s="10"/>
      <c r="E37" s="10"/>
      <c r="F37" s="10"/>
      <c r="G37" s="10"/>
      <c r="H37" s="10"/>
      <c r="I37" s="10"/>
      <c r="J37" s="10"/>
    </row>
    <row r="38" spans="1:10">
      <c r="A38" s="5"/>
      <c r="B38" s="5"/>
      <c r="C38" s="13"/>
      <c r="D38" s="10"/>
      <c r="E38" s="10"/>
      <c r="F38" s="10"/>
      <c r="G38" s="10"/>
      <c r="H38" s="10"/>
      <c r="I38" s="10"/>
      <c r="J38" s="10"/>
    </row>
    <row r="39" spans="1:10">
      <c r="A39" s="5"/>
      <c r="B39" s="5"/>
      <c r="C39" s="13"/>
      <c r="D39" s="10"/>
      <c r="E39" s="10"/>
      <c r="F39" s="10"/>
      <c r="G39" s="10"/>
      <c r="H39" s="10"/>
      <c r="I39" s="10"/>
      <c r="J39" s="10"/>
    </row>
  </sheetData>
  <autoFilter ref="A2:J2" xr:uid="{023533AE-F562-4CAD-BBB8-4904F11E0A5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35DEC-6098-44EE-9700-A7DA73879F2C}">
  <dimension ref="A1:H353"/>
  <sheetViews>
    <sheetView topLeftCell="B326" zoomScaleNormal="100" workbookViewId="0">
      <selection activeCell="F353" sqref="F353"/>
    </sheetView>
  </sheetViews>
  <sheetFormatPr baseColWidth="10" defaultRowHeight="15"/>
  <cols>
    <col min="1" max="1" width="43.42578125" style="1" customWidth="1"/>
    <col min="2" max="2" width="16.5703125" style="1" customWidth="1"/>
    <col min="3" max="3" width="30.28515625" customWidth="1"/>
    <col min="4" max="4" width="39.28515625" hidden="1" customWidth="1"/>
    <col min="5" max="5" width="23.5703125" style="4" customWidth="1"/>
    <col min="6" max="6" width="16.85546875" style="28" customWidth="1"/>
    <col min="7" max="7" width="65.5703125" style="9" customWidth="1"/>
    <col min="8" max="8" width="48" customWidth="1"/>
  </cols>
  <sheetData>
    <row r="1" spans="1:8">
      <c r="A1" s="13" t="s">
        <v>19</v>
      </c>
      <c r="B1" s="7" t="s">
        <v>13</v>
      </c>
      <c r="C1" s="7" t="s">
        <v>12</v>
      </c>
      <c r="D1" s="7" t="s">
        <v>11</v>
      </c>
      <c r="E1" s="7" t="s">
        <v>10</v>
      </c>
      <c r="F1" s="26" t="s">
        <v>9</v>
      </c>
      <c r="G1" s="22" t="s">
        <v>8</v>
      </c>
      <c r="H1" s="7" t="s">
        <v>30</v>
      </c>
    </row>
    <row r="2" spans="1:8" ht="30">
      <c r="A2" s="10" t="s">
        <v>49</v>
      </c>
      <c r="B2" s="6">
        <v>1</v>
      </c>
      <c r="C2" s="6" t="s">
        <v>20</v>
      </c>
      <c r="D2" s="6" t="str">
        <f t="shared" ref="D2:D36" si="0">B2&amp;A2&amp;C2</f>
        <v>14. Presentación de avances HRClaridad</v>
      </c>
      <c r="E2" s="29">
        <v>0.2</v>
      </c>
      <c r="F2" s="27">
        <v>4.5</v>
      </c>
      <c r="G2" s="23" t="s">
        <v>122</v>
      </c>
      <c r="H2" s="64"/>
    </row>
    <row r="3" spans="1:8" ht="30">
      <c r="A3" s="10" t="s">
        <v>49</v>
      </c>
      <c r="B3" s="6">
        <v>1</v>
      </c>
      <c r="C3" s="6" t="s">
        <v>21</v>
      </c>
      <c r="D3" s="6" t="str">
        <f t="shared" si="0"/>
        <v>14. Presentación de avances HRAvance</v>
      </c>
      <c r="E3" s="29">
        <v>0.2</v>
      </c>
      <c r="F3" s="27">
        <v>4.5</v>
      </c>
      <c r="G3" s="23" t="s">
        <v>120</v>
      </c>
      <c r="H3" s="64"/>
    </row>
    <row r="4" spans="1:8" ht="45">
      <c r="A4" s="10" t="s">
        <v>49</v>
      </c>
      <c r="B4" s="6">
        <v>1</v>
      </c>
      <c r="C4" s="6" t="s">
        <v>22</v>
      </c>
      <c r="D4" s="6" t="str">
        <f t="shared" si="0"/>
        <v>14. Presentación de avances HRComprensión</v>
      </c>
      <c r="E4" s="29">
        <v>0.2</v>
      </c>
      <c r="F4" s="27">
        <v>3.7</v>
      </c>
      <c r="G4" s="23" t="s">
        <v>118</v>
      </c>
      <c r="H4" s="64"/>
    </row>
    <row r="5" spans="1:8">
      <c r="A5" s="10" t="s">
        <v>49</v>
      </c>
      <c r="B5" s="6">
        <v>1</v>
      </c>
      <c r="C5" s="6" t="s">
        <v>23</v>
      </c>
      <c r="D5" s="6" t="str">
        <f t="shared" si="0"/>
        <v>14. Presentación de avances HRInnovación</v>
      </c>
      <c r="E5" s="29">
        <v>0.2</v>
      </c>
      <c r="F5" s="27">
        <v>5</v>
      </c>
      <c r="G5" s="23" t="s">
        <v>121</v>
      </c>
      <c r="H5" s="64"/>
    </row>
    <row r="6" spans="1:8" ht="60">
      <c r="A6" s="10" t="s">
        <v>49</v>
      </c>
      <c r="B6" s="6">
        <v>1</v>
      </c>
      <c r="C6" s="6" t="s">
        <v>24</v>
      </c>
      <c r="D6" s="6" t="str">
        <f t="shared" si="0"/>
        <v>14. Presentación de avances HRErrores</v>
      </c>
      <c r="E6" s="29">
        <v>0.2</v>
      </c>
      <c r="F6" s="27">
        <v>4.7</v>
      </c>
      <c r="G6" s="23" t="s">
        <v>119</v>
      </c>
      <c r="H6" s="64"/>
    </row>
    <row r="7" spans="1:8">
      <c r="A7" s="10" t="s">
        <v>49</v>
      </c>
      <c r="B7" s="6">
        <v>1</v>
      </c>
      <c r="C7" s="6" t="s">
        <v>6</v>
      </c>
      <c r="D7" s="6" t="str">
        <f t="shared" si="0"/>
        <v>14. Presentación de avances HRTotal</v>
      </c>
      <c r="E7" s="29">
        <f>SUM(E2:E6)</f>
        <v>1</v>
      </c>
      <c r="F7" s="27">
        <f>SUMPRODUCT(E2:E6,F2:F6)</f>
        <v>4.4800000000000004</v>
      </c>
      <c r="G7" s="23"/>
      <c r="H7" s="64"/>
    </row>
    <row r="8" spans="1:8">
      <c r="A8" s="10" t="s">
        <v>49</v>
      </c>
      <c r="B8" s="6">
        <f>B2+1</f>
        <v>2</v>
      </c>
      <c r="C8" s="6" t="s">
        <v>20</v>
      </c>
      <c r="D8" s="6" t="str">
        <f t="shared" si="0"/>
        <v>24. Presentación de avances HRClaridad</v>
      </c>
      <c r="E8" s="29">
        <v>0.2</v>
      </c>
      <c r="F8" s="27">
        <v>5</v>
      </c>
      <c r="G8" s="23"/>
      <c r="H8" s="64"/>
    </row>
    <row r="9" spans="1:8">
      <c r="A9" s="10" t="s">
        <v>49</v>
      </c>
      <c r="B9" s="6">
        <f t="shared" ref="B9:B48" si="1">B3+1</f>
        <v>2</v>
      </c>
      <c r="C9" s="6" t="s">
        <v>21</v>
      </c>
      <c r="D9" s="6" t="str">
        <f t="shared" si="0"/>
        <v>24. Presentación de avances HRAvance</v>
      </c>
      <c r="E9" s="29">
        <v>0.2</v>
      </c>
      <c r="F9" s="27">
        <v>5</v>
      </c>
      <c r="G9" s="23"/>
      <c r="H9" s="64"/>
    </row>
    <row r="10" spans="1:8">
      <c r="A10" s="10" t="s">
        <v>49</v>
      </c>
      <c r="B10" s="6">
        <f t="shared" si="1"/>
        <v>2</v>
      </c>
      <c r="C10" s="6" t="s">
        <v>22</v>
      </c>
      <c r="D10" s="6" t="str">
        <f t="shared" si="0"/>
        <v>24. Presentación de avances HRComprensión</v>
      </c>
      <c r="E10" s="29">
        <v>0.2</v>
      </c>
      <c r="F10" s="27">
        <v>5</v>
      </c>
      <c r="G10" s="23"/>
      <c r="H10" s="64"/>
    </row>
    <row r="11" spans="1:8" ht="30">
      <c r="A11" s="10" t="s">
        <v>49</v>
      </c>
      <c r="B11" s="6">
        <f t="shared" si="1"/>
        <v>2</v>
      </c>
      <c r="C11" s="6" t="s">
        <v>23</v>
      </c>
      <c r="D11" s="6" t="str">
        <f t="shared" si="0"/>
        <v>24. Presentación de avances HRInnovación</v>
      </c>
      <c r="E11" s="29">
        <v>0.2</v>
      </c>
      <c r="F11" s="27">
        <v>4</v>
      </c>
      <c r="G11" s="23" t="s">
        <v>129</v>
      </c>
      <c r="H11" s="64"/>
    </row>
    <row r="12" spans="1:8">
      <c r="A12" s="10" t="s">
        <v>49</v>
      </c>
      <c r="B12" s="6">
        <f t="shared" si="1"/>
        <v>2</v>
      </c>
      <c r="C12" s="6" t="s">
        <v>24</v>
      </c>
      <c r="D12" s="6" t="str">
        <f t="shared" si="0"/>
        <v>24. Presentación de avances HRErrores</v>
      </c>
      <c r="E12" s="29">
        <v>0.2</v>
      </c>
      <c r="F12" s="27">
        <v>5</v>
      </c>
      <c r="G12" s="23"/>
      <c r="H12" s="64"/>
    </row>
    <row r="13" spans="1:8">
      <c r="A13" s="10" t="s">
        <v>49</v>
      </c>
      <c r="B13" s="6">
        <f t="shared" si="1"/>
        <v>2</v>
      </c>
      <c r="C13" s="6" t="s">
        <v>6</v>
      </c>
      <c r="D13" s="6" t="str">
        <f t="shared" si="0"/>
        <v>24. Presentación de avances HRTotal</v>
      </c>
      <c r="E13" s="29">
        <f>SUM(E8:E12)</f>
        <v>1</v>
      </c>
      <c r="F13" s="27">
        <f>SUMPRODUCT(E8:E12,F8:F12)</f>
        <v>4.8</v>
      </c>
      <c r="G13" s="23"/>
      <c r="H13" s="64"/>
    </row>
    <row r="14" spans="1:8" ht="45">
      <c r="A14" s="10" t="s">
        <v>49</v>
      </c>
      <c r="B14" s="6">
        <f t="shared" si="1"/>
        <v>3</v>
      </c>
      <c r="C14" s="6" t="s">
        <v>20</v>
      </c>
      <c r="D14" s="6" t="str">
        <f t="shared" si="0"/>
        <v>34. Presentación de avances HRClaridad</v>
      </c>
      <c r="E14" s="29">
        <v>0.2</v>
      </c>
      <c r="F14" s="27">
        <v>3.5</v>
      </c>
      <c r="G14" s="23" t="s">
        <v>132</v>
      </c>
      <c r="H14" s="64"/>
    </row>
    <row r="15" spans="1:8" ht="30">
      <c r="A15" s="10" t="s">
        <v>49</v>
      </c>
      <c r="B15" s="6">
        <f t="shared" si="1"/>
        <v>3</v>
      </c>
      <c r="C15" s="6" t="s">
        <v>21</v>
      </c>
      <c r="D15" s="6" t="str">
        <f t="shared" si="0"/>
        <v>34. Presentación de avances HRAvance</v>
      </c>
      <c r="E15" s="29">
        <v>0.2</v>
      </c>
      <c r="F15" s="27">
        <v>3.7</v>
      </c>
      <c r="G15" s="23" t="s">
        <v>130</v>
      </c>
      <c r="H15" s="64"/>
    </row>
    <row r="16" spans="1:8">
      <c r="A16" s="10" t="s">
        <v>49</v>
      </c>
      <c r="B16" s="6">
        <f t="shared" si="1"/>
        <v>3</v>
      </c>
      <c r="C16" s="6" t="s">
        <v>22</v>
      </c>
      <c r="D16" s="6" t="str">
        <f t="shared" si="0"/>
        <v>34. Presentación de avances HRComprensión</v>
      </c>
      <c r="E16" s="29">
        <v>0.2</v>
      </c>
      <c r="F16" s="27">
        <v>5</v>
      </c>
      <c r="G16" s="23"/>
      <c r="H16" s="64"/>
    </row>
    <row r="17" spans="1:8">
      <c r="A17" s="10" t="s">
        <v>49</v>
      </c>
      <c r="B17" s="6">
        <f t="shared" si="1"/>
        <v>3</v>
      </c>
      <c r="C17" s="6" t="s">
        <v>23</v>
      </c>
      <c r="D17" s="6" t="str">
        <f t="shared" si="0"/>
        <v>34. Presentación de avances HRInnovación</v>
      </c>
      <c r="E17" s="29">
        <v>0.2</v>
      </c>
      <c r="F17" s="27">
        <v>5</v>
      </c>
      <c r="G17" s="23"/>
      <c r="H17" s="64"/>
    </row>
    <row r="18" spans="1:8" ht="45">
      <c r="A18" s="10" t="s">
        <v>49</v>
      </c>
      <c r="B18" s="6">
        <f t="shared" si="1"/>
        <v>3</v>
      </c>
      <c r="C18" s="6" t="s">
        <v>24</v>
      </c>
      <c r="D18" s="6" t="str">
        <f t="shared" si="0"/>
        <v>34. Presentación de avances HRErrores</v>
      </c>
      <c r="E18" s="29">
        <v>0.2</v>
      </c>
      <c r="F18" s="27">
        <v>3</v>
      </c>
      <c r="G18" s="23" t="s">
        <v>131</v>
      </c>
      <c r="H18" s="64"/>
    </row>
    <row r="19" spans="1:8">
      <c r="A19" s="10" t="s">
        <v>49</v>
      </c>
      <c r="B19" s="6">
        <f t="shared" si="1"/>
        <v>3</v>
      </c>
      <c r="C19" s="6" t="s">
        <v>6</v>
      </c>
      <c r="D19" s="6" t="str">
        <f t="shared" si="0"/>
        <v>34. Presentación de avances HRTotal</v>
      </c>
      <c r="E19" s="29">
        <f>SUM(E14:E18)</f>
        <v>1</v>
      </c>
      <c r="F19" s="27">
        <f>SUMPRODUCT(E14:E18,F14:F18)</f>
        <v>4.0400000000000009</v>
      </c>
      <c r="G19" s="23"/>
      <c r="H19" s="64"/>
    </row>
    <row r="20" spans="1:8" ht="60">
      <c r="A20" s="10" t="s">
        <v>49</v>
      </c>
      <c r="B20" s="6">
        <f t="shared" si="1"/>
        <v>4</v>
      </c>
      <c r="C20" s="6" t="s">
        <v>20</v>
      </c>
      <c r="D20" s="6" t="str">
        <f t="shared" si="0"/>
        <v>44. Presentación de avances HRClaridad</v>
      </c>
      <c r="E20" s="29">
        <v>0.2</v>
      </c>
      <c r="F20" s="27">
        <v>4</v>
      </c>
      <c r="G20" s="23" t="s">
        <v>112</v>
      </c>
      <c r="H20" s="64"/>
    </row>
    <row r="21" spans="1:8">
      <c r="A21" s="10" t="s">
        <v>49</v>
      </c>
      <c r="B21" s="6">
        <f t="shared" si="1"/>
        <v>4</v>
      </c>
      <c r="C21" s="6" t="s">
        <v>21</v>
      </c>
      <c r="D21" s="6" t="str">
        <f t="shared" si="0"/>
        <v>44. Presentación de avances HRAvance</v>
      </c>
      <c r="E21" s="29">
        <v>0.2</v>
      </c>
      <c r="F21" s="27">
        <v>4.5</v>
      </c>
      <c r="G21" s="23" t="s">
        <v>113</v>
      </c>
      <c r="H21" s="64"/>
    </row>
    <row r="22" spans="1:8" ht="60">
      <c r="A22" s="10" t="s">
        <v>49</v>
      </c>
      <c r="B22" s="6">
        <f t="shared" si="1"/>
        <v>4</v>
      </c>
      <c r="C22" s="6" t="s">
        <v>22</v>
      </c>
      <c r="D22" s="6" t="str">
        <f t="shared" si="0"/>
        <v>44. Presentación de avances HRComprensión</v>
      </c>
      <c r="E22" s="29">
        <v>0.2</v>
      </c>
      <c r="F22" s="27">
        <v>4.5</v>
      </c>
      <c r="G22" s="23" t="s">
        <v>114</v>
      </c>
      <c r="H22" s="64"/>
    </row>
    <row r="23" spans="1:8">
      <c r="A23" s="10" t="s">
        <v>49</v>
      </c>
      <c r="B23" s="6">
        <f>B17+1</f>
        <v>4</v>
      </c>
      <c r="C23" s="6" t="s">
        <v>23</v>
      </c>
      <c r="D23" s="6" t="str">
        <f t="shared" si="0"/>
        <v>44. Presentación de avances HRInnovación</v>
      </c>
      <c r="E23" s="29">
        <v>0.2</v>
      </c>
      <c r="F23" s="27">
        <v>4.5</v>
      </c>
      <c r="G23" s="23"/>
      <c r="H23" s="64"/>
    </row>
    <row r="24" spans="1:8">
      <c r="A24" s="10" t="s">
        <v>49</v>
      </c>
      <c r="B24" s="6">
        <f t="shared" si="1"/>
        <v>4</v>
      </c>
      <c r="C24" s="6" t="s">
        <v>24</v>
      </c>
      <c r="D24" s="6" t="str">
        <f t="shared" si="0"/>
        <v>44. Presentación de avances HRErrores</v>
      </c>
      <c r="E24" s="29">
        <v>0.2</v>
      </c>
      <c r="F24" s="27">
        <v>5</v>
      </c>
      <c r="G24" s="23"/>
      <c r="H24" s="64"/>
    </row>
    <row r="25" spans="1:8">
      <c r="A25" s="10" t="s">
        <v>49</v>
      </c>
      <c r="B25" s="6">
        <f>B19+1</f>
        <v>4</v>
      </c>
      <c r="C25" s="6" t="s">
        <v>6</v>
      </c>
      <c r="D25" s="6" t="str">
        <f t="shared" si="0"/>
        <v>44. Presentación de avances HRTotal</v>
      </c>
      <c r="E25" s="29">
        <f>SUM(E20:E24)</f>
        <v>1</v>
      </c>
      <c r="F25" s="27">
        <f>SUMPRODUCT(E20:E24,F20:F24)</f>
        <v>4.5</v>
      </c>
      <c r="G25" s="23"/>
      <c r="H25" s="64"/>
    </row>
    <row r="26" spans="1:8" ht="30">
      <c r="A26" s="10" t="s">
        <v>49</v>
      </c>
      <c r="B26" s="6">
        <f t="shared" si="1"/>
        <v>5</v>
      </c>
      <c r="C26" s="6" t="s">
        <v>20</v>
      </c>
      <c r="D26" s="6" t="str">
        <f t="shared" si="0"/>
        <v>54. Presentación de avances HRClaridad</v>
      </c>
      <c r="E26" s="29">
        <v>0.2</v>
      </c>
      <c r="F26" s="27">
        <v>3</v>
      </c>
      <c r="G26" s="23" t="s">
        <v>117</v>
      </c>
      <c r="H26" s="67"/>
    </row>
    <row r="27" spans="1:8">
      <c r="A27" s="10" t="s">
        <v>49</v>
      </c>
      <c r="B27" s="6">
        <f t="shared" si="1"/>
        <v>5</v>
      </c>
      <c r="C27" s="6" t="s">
        <v>21</v>
      </c>
      <c r="D27" s="6" t="str">
        <f t="shared" si="0"/>
        <v>54. Presentación de avances HRAvance</v>
      </c>
      <c r="E27" s="29">
        <v>0.2</v>
      </c>
      <c r="F27" s="27">
        <v>4</v>
      </c>
      <c r="G27" s="23" t="s">
        <v>115</v>
      </c>
      <c r="H27" s="67"/>
    </row>
    <row r="28" spans="1:8" ht="45">
      <c r="A28" s="10" t="s">
        <v>49</v>
      </c>
      <c r="B28" s="6">
        <f t="shared" si="1"/>
        <v>5</v>
      </c>
      <c r="C28" s="6" t="s">
        <v>22</v>
      </c>
      <c r="D28" s="6" t="str">
        <f t="shared" si="0"/>
        <v>54. Presentación de avances HRComprensión</v>
      </c>
      <c r="E28" s="29">
        <v>0.2</v>
      </c>
      <c r="F28" s="27">
        <v>4.8</v>
      </c>
      <c r="G28" s="23" t="s">
        <v>116</v>
      </c>
      <c r="H28" s="67"/>
    </row>
    <row r="29" spans="1:8">
      <c r="A29" s="10" t="s">
        <v>49</v>
      </c>
      <c r="B29" s="6">
        <f>B23+1</f>
        <v>5</v>
      </c>
      <c r="C29" s="6" t="s">
        <v>23</v>
      </c>
      <c r="D29" s="6" t="str">
        <f t="shared" si="0"/>
        <v>54. Presentación de avances HRInnovación</v>
      </c>
      <c r="E29" s="29">
        <v>0.2</v>
      </c>
      <c r="F29" s="27">
        <v>5</v>
      </c>
      <c r="G29" s="23" t="s">
        <v>111</v>
      </c>
      <c r="H29" s="67"/>
    </row>
    <row r="30" spans="1:8">
      <c r="A30" s="10" t="s">
        <v>49</v>
      </c>
      <c r="B30" s="6">
        <f t="shared" si="1"/>
        <v>5</v>
      </c>
      <c r="C30" s="6" t="s">
        <v>24</v>
      </c>
      <c r="D30" s="6" t="str">
        <f t="shared" si="0"/>
        <v>54. Presentación de avances HRErrores</v>
      </c>
      <c r="E30" s="29">
        <v>0.2</v>
      </c>
      <c r="F30" s="27">
        <v>5</v>
      </c>
      <c r="G30" s="23"/>
      <c r="H30" s="52"/>
    </row>
    <row r="31" spans="1:8">
      <c r="A31" s="10" t="s">
        <v>49</v>
      </c>
      <c r="B31" s="6">
        <f>B25+1</f>
        <v>5</v>
      </c>
      <c r="C31" s="6" t="s">
        <v>6</v>
      </c>
      <c r="D31" s="6" t="str">
        <f t="shared" si="0"/>
        <v>54. Presentación de avances HRTotal</v>
      </c>
      <c r="E31" s="29">
        <f>SUM(E26:E30)</f>
        <v>1</v>
      </c>
      <c r="F31" s="27">
        <f>SUMPRODUCT(E26:E30,F26:F30)</f>
        <v>4.3600000000000003</v>
      </c>
      <c r="G31" s="23"/>
      <c r="H31" s="52"/>
    </row>
    <row r="32" spans="1:8" ht="30">
      <c r="A32" s="10" t="s">
        <v>49</v>
      </c>
      <c r="B32" s="6">
        <f t="shared" si="1"/>
        <v>6</v>
      </c>
      <c r="C32" s="6" t="s">
        <v>20</v>
      </c>
      <c r="D32" s="6" t="str">
        <f>B32&amp;A32&amp;C32</f>
        <v>64. Presentación de avances HRClaridad</v>
      </c>
      <c r="E32" s="29">
        <v>0.2</v>
      </c>
      <c r="F32" s="27">
        <v>4.5</v>
      </c>
      <c r="G32" s="23" t="s">
        <v>127</v>
      </c>
      <c r="H32" s="64"/>
    </row>
    <row r="33" spans="1:8" ht="30">
      <c r="A33" s="10" t="s">
        <v>49</v>
      </c>
      <c r="B33" s="6">
        <f t="shared" si="1"/>
        <v>6</v>
      </c>
      <c r="C33" s="6" t="s">
        <v>21</v>
      </c>
      <c r="D33" s="6" t="str">
        <f t="shared" si="0"/>
        <v>64. Presentación de avances HRAvance</v>
      </c>
      <c r="E33" s="29">
        <v>0.2</v>
      </c>
      <c r="F33" s="27">
        <v>3.7</v>
      </c>
      <c r="G33" s="23" t="s">
        <v>123</v>
      </c>
      <c r="H33" s="64"/>
    </row>
    <row r="34" spans="1:8" ht="30">
      <c r="A34" s="10" t="s">
        <v>49</v>
      </c>
      <c r="B34" s="6">
        <f t="shared" si="1"/>
        <v>6</v>
      </c>
      <c r="C34" s="6" t="s">
        <v>22</v>
      </c>
      <c r="D34" s="6" t="str">
        <f t="shared" si="0"/>
        <v>64. Presentación de avances HRComprensión</v>
      </c>
      <c r="E34" s="29">
        <v>0.2</v>
      </c>
      <c r="F34" s="27">
        <v>4.8</v>
      </c>
      <c r="G34" s="23" t="s">
        <v>124</v>
      </c>
      <c r="H34" s="64"/>
    </row>
    <row r="35" spans="1:8">
      <c r="A35" s="10" t="s">
        <v>49</v>
      </c>
      <c r="B35" s="6">
        <f>B29+1</f>
        <v>6</v>
      </c>
      <c r="C35" s="6" t="s">
        <v>23</v>
      </c>
      <c r="D35" s="6" t="str">
        <f t="shared" si="0"/>
        <v>64. Presentación de avances HRInnovación</v>
      </c>
      <c r="E35" s="29">
        <v>0.2</v>
      </c>
      <c r="F35" s="27">
        <v>5</v>
      </c>
      <c r="G35" s="23" t="s">
        <v>125</v>
      </c>
      <c r="H35" s="64"/>
    </row>
    <row r="36" spans="1:8">
      <c r="A36" s="10" t="s">
        <v>49</v>
      </c>
      <c r="B36" s="6">
        <f t="shared" si="1"/>
        <v>6</v>
      </c>
      <c r="C36" s="6" t="s">
        <v>24</v>
      </c>
      <c r="D36" s="6" t="str">
        <f t="shared" si="0"/>
        <v>64. Presentación de avances HRErrores</v>
      </c>
      <c r="E36" s="29">
        <v>0.2</v>
      </c>
      <c r="F36" s="27">
        <v>3.7</v>
      </c>
      <c r="G36" s="23" t="s">
        <v>126</v>
      </c>
      <c r="H36" s="64"/>
    </row>
    <row r="37" spans="1:8">
      <c r="A37" s="10" t="s">
        <v>49</v>
      </c>
      <c r="B37" s="6">
        <f>B31+1</f>
        <v>6</v>
      </c>
      <c r="C37" s="6" t="s">
        <v>6</v>
      </c>
      <c r="D37" s="6" t="str">
        <f>B37&amp;A37&amp;C37</f>
        <v>64. Presentación de avances HRTotal</v>
      </c>
      <c r="E37" s="29">
        <f>SUM(E32:E36)</f>
        <v>1</v>
      </c>
      <c r="F37" s="27">
        <f>SUMPRODUCT(E32:E36,F32:F36)</f>
        <v>4.34</v>
      </c>
      <c r="G37" s="23"/>
      <c r="H37" s="64"/>
    </row>
    <row r="38" spans="1:8" ht="30">
      <c r="A38" s="10" t="s">
        <v>49</v>
      </c>
      <c r="B38" s="6">
        <f t="shared" si="1"/>
        <v>7</v>
      </c>
      <c r="C38" s="6" t="s">
        <v>20</v>
      </c>
      <c r="D38" s="6" t="str">
        <f>B38&amp;A38&amp;C38</f>
        <v>74. Presentación de avances HRClaridad</v>
      </c>
      <c r="E38" s="29">
        <v>0.2</v>
      </c>
      <c r="F38" s="27">
        <v>4</v>
      </c>
      <c r="G38" s="23" t="s">
        <v>133</v>
      </c>
      <c r="H38" s="64"/>
    </row>
    <row r="39" spans="1:8">
      <c r="A39" s="10" t="s">
        <v>49</v>
      </c>
      <c r="B39" s="6">
        <f t="shared" si="1"/>
        <v>7</v>
      </c>
      <c r="C39" s="6" t="s">
        <v>21</v>
      </c>
      <c r="D39" s="6" t="str">
        <f t="shared" ref="D39:D42" si="2">B39&amp;A39&amp;C39</f>
        <v>74. Presentación de avances HRAvance</v>
      </c>
      <c r="E39" s="29">
        <v>0.2</v>
      </c>
      <c r="F39" s="27">
        <v>3.5</v>
      </c>
      <c r="G39" s="23" t="s">
        <v>128</v>
      </c>
      <c r="H39" s="64"/>
    </row>
    <row r="40" spans="1:8">
      <c r="A40" s="10" t="s">
        <v>49</v>
      </c>
      <c r="B40" s="6">
        <f t="shared" si="1"/>
        <v>7</v>
      </c>
      <c r="C40" s="6" t="s">
        <v>22</v>
      </c>
      <c r="D40" s="6" t="str">
        <f t="shared" si="2"/>
        <v>74. Presentación de avances HRComprensión</v>
      </c>
      <c r="E40" s="29">
        <v>0.2</v>
      </c>
      <c r="F40" s="27">
        <v>4.7</v>
      </c>
      <c r="G40" s="23" t="s">
        <v>134</v>
      </c>
      <c r="H40" s="64"/>
    </row>
    <row r="41" spans="1:8">
      <c r="A41" s="10" t="s">
        <v>49</v>
      </c>
      <c r="B41" s="6">
        <f>B35+1</f>
        <v>7</v>
      </c>
      <c r="C41" s="6" t="s">
        <v>23</v>
      </c>
      <c r="D41" s="6" t="str">
        <f t="shared" si="2"/>
        <v>74. Presentación de avances HRInnovación</v>
      </c>
      <c r="E41" s="29">
        <v>0.2</v>
      </c>
      <c r="F41" s="27">
        <v>5</v>
      </c>
      <c r="G41" s="23" t="s">
        <v>136</v>
      </c>
      <c r="H41" s="64"/>
    </row>
    <row r="42" spans="1:8" ht="30">
      <c r="A42" s="10" t="s">
        <v>49</v>
      </c>
      <c r="B42" s="6">
        <f t="shared" si="1"/>
        <v>7</v>
      </c>
      <c r="C42" s="6" t="s">
        <v>24</v>
      </c>
      <c r="D42" s="6" t="str">
        <f t="shared" si="2"/>
        <v>74. Presentación de avances HRErrores</v>
      </c>
      <c r="E42" s="29">
        <v>0.2</v>
      </c>
      <c r="F42" s="27">
        <v>3.5</v>
      </c>
      <c r="G42" s="23" t="s">
        <v>135</v>
      </c>
      <c r="H42" s="64"/>
    </row>
    <row r="43" spans="1:8">
      <c r="A43" s="10" t="s">
        <v>49</v>
      </c>
      <c r="B43" s="6">
        <f>B37+1</f>
        <v>7</v>
      </c>
      <c r="C43" s="6" t="s">
        <v>6</v>
      </c>
      <c r="D43" s="6" t="str">
        <f>B43&amp;A43&amp;C43</f>
        <v>74. Presentación de avances HRTotal</v>
      </c>
      <c r="E43" s="29">
        <f>SUM(E38:E42)</f>
        <v>1</v>
      </c>
      <c r="F43" s="27">
        <f>SUMPRODUCT(E38:E42,F38:F42)</f>
        <v>4.1399999999999997</v>
      </c>
      <c r="G43" s="23"/>
      <c r="H43" s="64"/>
    </row>
    <row r="44" spans="1:8" ht="90">
      <c r="A44" s="10" t="s">
        <v>49</v>
      </c>
      <c r="B44" s="6">
        <f t="shared" si="1"/>
        <v>8</v>
      </c>
      <c r="C44" s="6" t="s">
        <v>20</v>
      </c>
      <c r="D44" s="6" t="str">
        <f>B44&amp;A44&amp;C44</f>
        <v>84. Presentación de avances HRClaridad</v>
      </c>
      <c r="E44" s="29">
        <v>0.2</v>
      </c>
      <c r="F44" s="27">
        <v>3</v>
      </c>
      <c r="G44" s="23" t="s">
        <v>137</v>
      </c>
      <c r="H44" s="64"/>
    </row>
    <row r="45" spans="1:8" ht="60">
      <c r="A45" s="10" t="s">
        <v>49</v>
      </c>
      <c r="B45" s="6">
        <f t="shared" si="1"/>
        <v>8</v>
      </c>
      <c r="C45" s="6" t="s">
        <v>21</v>
      </c>
      <c r="D45" s="6" t="str">
        <f t="shared" ref="D45:D48" si="3">B45&amp;A45&amp;C45</f>
        <v>84. Presentación de avances HRAvance</v>
      </c>
      <c r="E45" s="29">
        <v>0.2</v>
      </c>
      <c r="F45" s="27">
        <v>3.5</v>
      </c>
      <c r="G45" s="23" t="s">
        <v>138</v>
      </c>
      <c r="H45" s="64"/>
    </row>
    <row r="46" spans="1:8" ht="30">
      <c r="A46" s="10" t="s">
        <v>49</v>
      </c>
      <c r="B46" s="6">
        <f t="shared" si="1"/>
        <v>8</v>
      </c>
      <c r="C46" s="6" t="s">
        <v>22</v>
      </c>
      <c r="D46" s="6" t="str">
        <f t="shared" si="3"/>
        <v>84. Presentación de avances HRComprensión</v>
      </c>
      <c r="E46" s="29">
        <v>0.2</v>
      </c>
      <c r="F46" s="27">
        <v>4</v>
      </c>
      <c r="G46" s="23" t="s">
        <v>140</v>
      </c>
      <c r="H46" s="64"/>
    </row>
    <row r="47" spans="1:8">
      <c r="A47" s="10" t="s">
        <v>49</v>
      </c>
      <c r="B47" s="6">
        <f>B41+1</f>
        <v>8</v>
      </c>
      <c r="C47" s="6" t="s">
        <v>23</v>
      </c>
      <c r="D47" s="6" t="str">
        <f t="shared" si="3"/>
        <v>84. Presentación de avances HRInnovación</v>
      </c>
      <c r="E47" s="29">
        <v>0.2</v>
      </c>
      <c r="F47" s="27">
        <v>3</v>
      </c>
      <c r="G47" s="23" t="s">
        <v>139</v>
      </c>
      <c r="H47" s="64"/>
    </row>
    <row r="48" spans="1:8">
      <c r="A48" s="10" t="s">
        <v>49</v>
      </c>
      <c r="B48" s="6">
        <f t="shared" si="1"/>
        <v>8</v>
      </c>
      <c r="C48" s="6" t="s">
        <v>24</v>
      </c>
      <c r="D48" s="6" t="str">
        <f t="shared" si="3"/>
        <v>84. Presentación de avances HRErrores</v>
      </c>
      <c r="E48" s="29">
        <v>0.2</v>
      </c>
      <c r="F48" s="27">
        <v>4</v>
      </c>
      <c r="G48" s="23" t="s">
        <v>141</v>
      </c>
      <c r="H48" s="64"/>
    </row>
    <row r="49" spans="1:8">
      <c r="A49" s="10" t="s">
        <v>49</v>
      </c>
      <c r="B49" s="6">
        <f>B43+1</f>
        <v>8</v>
      </c>
      <c r="C49" s="6" t="s">
        <v>6</v>
      </c>
      <c r="D49" s="6" t="str">
        <f>B49&amp;A49&amp;C49</f>
        <v>84. Presentación de avances HRTotal</v>
      </c>
      <c r="E49" s="29">
        <f>SUM(E44:E48)</f>
        <v>1</v>
      </c>
      <c r="F49" s="27">
        <f>SUMPRODUCT(E44:E48,F44:F48)</f>
        <v>3.5000000000000009</v>
      </c>
      <c r="G49" s="23"/>
      <c r="H49" s="64"/>
    </row>
    <row r="50" spans="1:8" s="4" customFormat="1">
      <c r="A50" s="6" t="s">
        <v>29</v>
      </c>
      <c r="B50" s="6">
        <v>1</v>
      </c>
      <c r="C50" s="6" t="s">
        <v>7</v>
      </c>
      <c r="D50" s="6" t="str">
        <f t="shared" ref="D50:D85" si="4">B50&amp;A50&amp;C50</f>
        <v>1Trabajo HRCreatividad</v>
      </c>
      <c r="E50" s="29">
        <v>0.1</v>
      </c>
      <c r="F50" s="27">
        <v>5</v>
      </c>
      <c r="G50" s="23"/>
      <c r="H50" s="52"/>
    </row>
    <row r="51" spans="1:8" s="4" customFormat="1">
      <c r="A51" s="6" t="s">
        <v>29</v>
      </c>
      <c r="B51" s="6">
        <v>1</v>
      </c>
      <c r="C51" s="6" t="s">
        <v>2</v>
      </c>
      <c r="D51" s="6" t="str">
        <f t="shared" si="4"/>
        <v>1Trabajo HRPertinencia</v>
      </c>
      <c r="E51" s="29">
        <v>0.05</v>
      </c>
      <c r="F51" s="27">
        <v>5</v>
      </c>
      <c r="G51" s="23"/>
      <c r="H51" s="52"/>
    </row>
    <row r="52" spans="1:8" s="4" customFormat="1">
      <c r="A52" s="6" t="s">
        <v>29</v>
      </c>
      <c r="B52" s="6">
        <v>1</v>
      </c>
      <c r="C52" s="6" t="s">
        <v>3</v>
      </c>
      <c r="D52" s="6" t="str">
        <f t="shared" si="4"/>
        <v>1Trabajo HRcódigo</v>
      </c>
      <c r="E52" s="29">
        <v>0.3</v>
      </c>
      <c r="F52" s="27">
        <v>5</v>
      </c>
      <c r="G52" s="23"/>
      <c r="H52" s="52"/>
    </row>
    <row r="53" spans="1:8" s="4" customFormat="1">
      <c r="A53" s="6" t="s">
        <v>29</v>
      </c>
      <c r="B53" s="6">
        <v>1</v>
      </c>
      <c r="C53" s="6" t="s">
        <v>4</v>
      </c>
      <c r="D53" s="6" t="str">
        <f t="shared" si="4"/>
        <v>1Trabajo HRAnálisis</v>
      </c>
      <c r="E53" s="29">
        <v>0.35</v>
      </c>
      <c r="F53" s="27">
        <v>5</v>
      </c>
      <c r="G53" s="23"/>
      <c r="H53" s="52"/>
    </row>
    <row r="54" spans="1:8" s="4" customFormat="1">
      <c r="A54" s="6" t="s">
        <v>29</v>
      </c>
      <c r="B54" s="6">
        <v>1</v>
      </c>
      <c r="C54" s="6" t="s">
        <v>5</v>
      </c>
      <c r="D54" s="6" t="str">
        <f t="shared" si="4"/>
        <v>1Trabajo HRRedacción</v>
      </c>
      <c r="E54" s="29">
        <v>0.2</v>
      </c>
      <c r="F54" s="27">
        <v>5</v>
      </c>
      <c r="G54" s="23"/>
      <c r="H54" s="52"/>
    </row>
    <row r="55" spans="1:8" ht="60">
      <c r="A55" s="6" t="s">
        <v>29</v>
      </c>
      <c r="B55" s="6">
        <f>B54</f>
        <v>1</v>
      </c>
      <c r="C55" s="6" t="s">
        <v>6</v>
      </c>
      <c r="D55" s="6" t="str">
        <f t="shared" si="4"/>
        <v>1Trabajo HRTotal</v>
      </c>
      <c r="E55" s="29">
        <f>SUM(E50:E54)</f>
        <v>1</v>
      </c>
      <c r="F55" s="27">
        <f>SUMPRODUCT(E50:E54,F50:F54)</f>
        <v>5</v>
      </c>
      <c r="G55" s="23" t="s">
        <v>184</v>
      </c>
      <c r="H55" s="52"/>
    </row>
    <row r="56" spans="1:8">
      <c r="A56" s="6" t="s">
        <v>29</v>
      </c>
      <c r="B56" s="6">
        <f>B50+1</f>
        <v>2</v>
      </c>
      <c r="C56" s="6" t="s">
        <v>7</v>
      </c>
      <c r="D56" s="6" t="str">
        <f t="shared" si="4"/>
        <v>2Trabajo HRCreatividad</v>
      </c>
      <c r="E56" s="29">
        <v>0.1</v>
      </c>
      <c r="F56" s="27">
        <v>5</v>
      </c>
      <c r="G56" s="23"/>
      <c r="H56" s="52"/>
    </row>
    <row r="57" spans="1:8">
      <c r="A57" s="6" t="s">
        <v>29</v>
      </c>
      <c r="B57" s="6">
        <f t="shared" ref="B57:B97" si="5">B51+1</f>
        <v>2</v>
      </c>
      <c r="C57" s="6" t="s">
        <v>2</v>
      </c>
      <c r="D57" s="6" t="str">
        <f t="shared" si="4"/>
        <v>2Trabajo HRPertinencia</v>
      </c>
      <c r="E57" s="29">
        <v>0.05</v>
      </c>
      <c r="F57" s="27">
        <v>5</v>
      </c>
      <c r="G57" s="23"/>
      <c r="H57" s="52"/>
    </row>
    <row r="58" spans="1:8">
      <c r="A58" s="6" t="s">
        <v>29</v>
      </c>
      <c r="B58" s="6">
        <f t="shared" si="5"/>
        <v>2</v>
      </c>
      <c r="C58" s="6" t="s">
        <v>3</v>
      </c>
      <c r="D58" s="6" t="str">
        <f t="shared" si="4"/>
        <v>2Trabajo HRcódigo</v>
      </c>
      <c r="E58" s="29">
        <v>0.3</v>
      </c>
      <c r="F58" s="27">
        <v>5</v>
      </c>
      <c r="G58" s="23"/>
      <c r="H58" s="52"/>
    </row>
    <row r="59" spans="1:8">
      <c r="A59" s="6" t="s">
        <v>29</v>
      </c>
      <c r="B59" s="6">
        <f t="shared" si="5"/>
        <v>2</v>
      </c>
      <c r="C59" s="6" t="s">
        <v>4</v>
      </c>
      <c r="D59" s="6" t="str">
        <f t="shared" si="4"/>
        <v>2Trabajo HRAnálisis</v>
      </c>
      <c r="E59" s="29">
        <v>0.35</v>
      </c>
      <c r="F59" s="27">
        <v>5</v>
      </c>
      <c r="G59" s="23"/>
      <c r="H59" s="52"/>
    </row>
    <row r="60" spans="1:8">
      <c r="A60" s="6" t="s">
        <v>29</v>
      </c>
      <c r="B60" s="6">
        <f t="shared" si="5"/>
        <v>2</v>
      </c>
      <c r="C60" s="6" t="s">
        <v>5</v>
      </c>
      <c r="D60" s="6" t="str">
        <f t="shared" si="4"/>
        <v>2Trabajo HRRedacción</v>
      </c>
      <c r="E60" s="29">
        <v>0.2</v>
      </c>
      <c r="F60" s="27">
        <v>5</v>
      </c>
      <c r="G60" s="23"/>
      <c r="H60" s="52"/>
    </row>
    <row r="61" spans="1:8" ht="30">
      <c r="A61" s="6" t="s">
        <v>29</v>
      </c>
      <c r="B61" s="6">
        <f t="shared" si="5"/>
        <v>2</v>
      </c>
      <c r="C61" s="6" t="s">
        <v>6</v>
      </c>
      <c r="D61" s="6" t="str">
        <f t="shared" si="4"/>
        <v>2Trabajo HRTotal</v>
      </c>
      <c r="E61" s="29">
        <f>SUM(E56:E60)</f>
        <v>1</v>
      </c>
      <c r="F61" s="27">
        <v>5</v>
      </c>
      <c r="G61" s="23" t="s">
        <v>185</v>
      </c>
      <c r="H61" s="52"/>
    </row>
    <row r="62" spans="1:8" ht="30">
      <c r="A62" s="6" t="s">
        <v>29</v>
      </c>
      <c r="B62" s="6">
        <f t="shared" si="5"/>
        <v>3</v>
      </c>
      <c r="C62" s="6" t="s">
        <v>7</v>
      </c>
      <c r="D62" s="6" t="str">
        <f t="shared" si="4"/>
        <v>3Trabajo HRCreatividad</v>
      </c>
      <c r="E62" s="29">
        <v>0.1</v>
      </c>
      <c r="F62" s="27">
        <v>4</v>
      </c>
      <c r="G62" s="23" t="s">
        <v>188</v>
      </c>
      <c r="H62" s="52"/>
    </row>
    <row r="63" spans="1:8" ht="60">
      <c r="A63" s="6" t="s">
        <v>29</v>
      </c>
      <c r="B63" s="6">
        <f t="shared" si="5"/>
        <v>3</v>
      </c>
      <c r="C63" s="6" t="s">
        <v>2</v>
      </c>
      <c r="D63" s="6" t="str">
        <f t="shared" si="4"/>
        <v>3Trabajo HRPertinencia</v>
      </c>
      <c r="E63" s="29">
        <v>0.05</v>
      </c>
      <c r="F63" s="27">
        <v>4</v>
      </c>
      <c r="G63" s="23" t="s">
        <v>186</v>
      </c>
      <c r="H63" s="52"/>
    </row>
    <row r="64" spans="1:8" ht="30">
      <c r="A64" s="6" t="s">
        <v>29</v>
      </c>
      <c r="B64" s="6">
        <f t="shared" si="5"/>
        <v>3</v>
      </c>
      <c r="C64" s="6" t="s">
        <v>3</v>
      </c>
      <c r="D64" s="6" t="str">
        <f t="shared" si="4"/>
        <v>3Trabajo HRcódigo</v>
      </c>
      <c r="E64" s="29">
        <v>0.3</v>
      </c>
      <c r="F64" s="27">
        <v>4.7</v>
      </c>
      <c r="G64" s="53" t="s">
        <v>190</v>
      </c>
      <c r="H64" s="52"/>
    </row>
    <row r="65" spans="1:8" ht="45">
      <c r="A65" s="6" t="s">
        <v>29</v>
      </c>
      <c r="B65" s="6">
        <f t="shared" si="5"/>
        <v>3</v>
      </c>
      <c r="C65" s="6" t="s">
        <v>4</v>
      </c>
      <c r="D65" s="6" t="str">
        <f t="shared" si="4"/>
        <v>3Trabajo HRAnálisis</v>
      </c>
      <c r="E65" s="29">
        <v>0.35</v>
      </c>
      <c r="F65" s="27">
        <v>4.5</v>
      </c>
      <c r="G65" s="53" t="s">
        <v>187</v>
      </c>
      <c r="H65" s="52"/>
    </row>
    <row r="66" spans="1:8" ht="30">
      <c r="A66" s="6" t="s">
        <v>29</v>
      </c>
      <c r="B66" s="6">
        <f t="shared" si="5"/>
        <v>3</v>
      </c>
      <c r="C66" s="6" t="s">
        <v>5</v>
      </c>
      <c r="D66" s="6" t="str">
        <f t="shared" si="4"/>
        <v>3Trabajo HRRedacción</v>
      </c>
      <c r="E66" s="29">
        <v>0.2</v>
      </c>
      <c r="F66" s="27">
        <v>4.5</v>
      </c>
      <c r="G66" s="23" t="s">
        <v>189</v>
      </c>
      <c r="H66" s="52"/>
    </row>
    <row r="67" spans="1:8">
      <c r="A67" s="6" t="s">
        <v>29</v>
      </c>
      <c r="B67" s="6">
        <f t="shared" si="5"/>
        <v>3</v>
      </c>
      <c r="C67" s="6" t="s">
        <v>6</v>
      </c>
      <c r="D67" s="6" t="str">
        <f t="shared" si="4"/>
        <v>3Trabajo HRTotal</v>
      </c>
      <c r="E67" s="29">
        <f t="shared" ref="E67" si="6">SUM(E62:E66)</f>
        <v>1</v>
      </c>
      <c r="F67" s="27">
        <f>SUMPRODUCT(E62:E66,F62:F66)</f>
        <v>4.4850000000000003</v>
      </c>
      <c r="G67" s="23"/>
      <c r="H67" s="52"/>
    </row>
    <row r="68" spans="1:8" ht="45">
      <c r="A68" s="6" t="s">
        <v>29</v>
      </c>
      <c r="B68" s="6">
        <f t="shared" si="5"/>
        <v>4</v>
      </c>
      <c r="C68" s="6" t="s">
        <v>7</v>
      </c>
      <c r="D68" s="6" t="str">
        <f t="shared" si="4"/>
        <v>4Trabajo HRCreatividad</v>
      </c>
      <c r="E68" s="29">
        <v>0.1</v>
      </c>
      <c r="F68" s="27">
        <v>4.7</v>
      </c>
      <c r="G68" s="23" t="s">
        <v>191</v>
      </c>
      <c r="H68" s="52"/>
    </row>
    <row r="69" spans="1:8" ht="105">
      <c r="A69" s="6" t="s">
        <v>29</v>
      </c>
      <c r="B69" s="6">
        <f t="shared" si="5"/>
        <v>4</v>
      </c>
      <c r="C69" s="6" t="s">
        <v>2</v>
      </c>
      <c r="D69" s="6" t="str">
        <f t="shared" si="4"/>
        <v>4Trabajo HRPertinencia</v>
      </c>
      <c r="E69" s="29">
        <v>0.05</v>
      </c>
      <c r="F69" s="27">
        <v>4</v>
      </c>
      <c r="G69" s="23" t="s">
        <v>192</v>
      </c>
      <c r="H69" s="52"/>
    </row>
    <row r="70" spans="1:8" ht="45">
      <c r="A70" s="6" t="s">
        <v>29</v>
      </c>
      <c r="B70" s="6">
        <f t="shared" si="5"/>
        <v>4</v>
      </c>
      <c r="C70" s="6" t="s">
        <v>3</v>
      </c>
      <c r="D70" s="6" t="str">
        <f t="shared" si="4"/>
        <v>4Trabajo HRcódigo</v>
      </c>
      <c r="E70" s="29">
        <v>0.3</v>
      </c>
      <c r="F70" s="27">
        <v>4.5</v>
      </c>
      <c r="G70" s="23" t="s">
        <v>194</v>
      </c>
      <c r="H70" s="52"/>
    </row>
    <row r="71" spans="1:8" ht="60">
      <c r="A71" s="6" t="s">
        <v>29</v>
      </c>
      <c r="B71" s="6">
        <f t="shared" si="5"/>
        <v>4</v>
      </c>
      <c r="C71" s="6" t="s">
        <v>4</v>
      </c>
      <c r="D71" s="6" t="str">
        <f t="shared" si="4"/>
        <v>4Trabajo HRAnálisis</v>
      </c>
      <c r="E71" s="29">
        <v>0.35</v>
      </c>
      <c r="F71" s="27">
        <v>4.7</v>
      </c>
      <c r="G71" s="23" t="s">
        <v>193</v>
      </c>
      <c r="H71" s="52"/>
    </row>
    <row r="72" spans="1:8" ht="60">
      <c r="A72" s="6" t="s">
        <v>29</v>
      </c>
      <c r="B72" s="6">
        <f t="shared" si="5"/>
        <v>4</v>
      </c>
      <c r="C72" s="6" t="s">
        <v>5</v>
      </c>
      <c r="D72" s="6" t="str">
        <f t="shared" si="4"/>
        <v>4Trabajo HRRedacción</v>
      </c>
      <c r="E72" s="29">
        <v>0.2</v>
      </c>
      <c r="F72" s="27">
        <v>4.7</v>
      </c>
      <c r="G72" s="23" t="s">
        <v>193</v>
      </c>
      <c r="H72" s="52"/>
    </row>
    <row r="73" spans="1:8">
      <c r="A73" s="6" t="s">
        <v>29</v>
      </c>
      <c r="B73" s="6">
        <f t="shared" si="5"/>
        <v>4</v>
      </c>
      <c r="C73" s="6" t="s">
        <v>6</v>
      </c>
      <c r="D73" s="6" t="str">
        <f t="shared" si="4"/>
        <v>4Trabajo HRTotal</v>
      </c>
      <c r="E73" s="29">
        <f t="shared" ref="E73" si="7">SUM(E68:E72)</f>
        <v>1</v>
      </c>
      <c r="F73" s="27">
        <f>SUMPRODUCT(E68:E72,F68:F72)</f>
        <v>4.6050000000000004</v>
      </c>
      <c r="G73" s="23"/>
      <c r="H73" s="52"/>
    </row>
    <row r="74" spans="1:8">
      <c r="A74" s="6" t="s">
        <v>29</v>
      </c>
      <c r="B74" s="6">
        <f t="shared" si="5"/>
        <v>5</v>
      </c>
      <c r="C74" s="6" t="s">
        <v>7</v>
      </c>
      <c r="D74" s="6" t="str">
        <f t="shared" si="4"/>
        <v>5Trabajo HRCreatividad</v>
      </c>
      <c r="E74" s="29">
        <v>0.1</v>
      </c>
      <c r="F74" s="27">
        <v>5</v>
      </c>
      <c r="G74" s="23"/>
      <c r="H74" s="52"/>
    </row>
    <row r="75" spans="1:8">
      <c r="A75" s="6" t="s">
        <v>29</v>
      </c>
      <c r="B75" s="6">
        <f t="shared" si="5"/>
        <v>5</v>
      </c>
      <c r="C75" s="6" t="s">
        <v>2</v>
      </c>
      <c r="D75" s="6" t="str">
        <f t="shared" si="4"/>
        <v>5Trabajo HRPertinencia</v>
      </c>
      <c r="E75" s="29">
        <v>0.05</v>
      </c>
      <c r="F75" s="27">
        <v>5</v>
      </c>
      <c r="G75" s="23"/>
      <c r="H75" s="52"/>
    </row>
    <row r="76" spans="1:8">
      <c r="A76" s="6" t="s">
        <v>29</v>
      </c>
      <c r="B76" s="6">
        <f t="shared" si="5"/>
        <v>5</v>
      </c>
      <c r="C76" s="6" t="s">
        <v>3</v>
      </c>
      <c r="D76" s="6" t="str">
        <f t="shared" si="4"/>
        <v>5Trabajo HRcódigo</v>
      </c>
      <c r="E76" s="29">
        <v>0.3</v>
      </c>
      <c r="F76" s="27">
        <v>5</v>
      </c>
      <c r="G76" s="23"/>
      <c r="H76" s="52"/>
    </row>
    <row r="77" spans="1:8" s="4" customFormat="1">
      <c r="A77" s="6" t="s">
        <v>29</v>
      </c>
      <c r="B77" s="6">
        <f t="shared" si="5"/>
        <v>5</v>
      </c>
      <c r="C77" s="6" t="s">
        <v>4</v>
      </c>
      <c r="D77" s="6" t="str">
        <f t="shared" si="4"/>
        <v>5Trabajo HRAnálisis</v>
      </c>
      <c r="E77" s="29">
        <v>0.35</v>
      </c>
      <c r="F77" s="27">
        <v>5</v>
      </c>
      <c r="G77" s="23"/>
      <c r="H77" s="52"/>
    </row>
    <row r="78" spans="1:8">
      <c r="A78" s="6" t="s">
        <v>29</v>
      </c>
      <c r="B78" s="6">
        <f t="shared" si="5"/>
        <v>5</v>
      </c>
      <c r="C78" s="6" t="s">
        <v>5</v>
      </c>
      <c r="D78" s="6" t="str">
        <f t="shared" si="4"/>
        <v>5Trabajo HRRedacción</v>
      </c>
      <c r="E78" s="29">
        <v>0.2</v>
      </c>
      <c r="F78" s="27">
        <v>5</v>
      </c>
      <c r="G78" s="23"/>
      <c r="H78" s="52"/>
    </row>
    <row r="79" spans="1:8">
      <c r="A79" s="6" t="s">
        <v>29</v>
      </c>
      <c r="B79" s="6">
        <f t="shared" si="5"/>
        <v>5</v>
      </c>
      <c r="C79" s="6" t="s">
        <v>6</v>
      </c>
      <c r="D79" s="6" t="str">
        <f t="shared" si="4"/>
        <v>5Trabajo HRTotal</v>
      </c>
      <c r="E79" s="29">
        <f t="shared" ref="E79" si="8">SUM(E74:E78)</f>
        <v>1</v>
      </c>
      <c r="F79" s="27">
        <f>SUMPRODUCT(E74:E78,F74:F78)</f>
        <v>5</v>
      </c>
      <c r="G79" s="23"/>
      <c r="H79" s="52"/>
    </row>
    <row r="80" spans="1:8" ht="75">
      <c r="A80" s="6" t="s">
        <v>29</v>
      </c>
      <c r="B80" s="6">
        <f t="shared" si="5"/>
        <v>6</v>
      </c>
      <c r="C80" s="6" t="s">
        <v>7</v>
      </c>
      <c r="D80" s="6" t="str">
        <f t="shared" si="4"/>
        <v>6Trabajo HRCreatividad</v>
      </c>
      <c r="E80" s="29">
        <v>0.1</v>
      </c>
      <c r="F80" s="27">
        <v>4.5</v>
      </c>
      <c r="G80" s="23" t="s">
        <v>195</v>
      </c>
      <c r="H80" s="52"/>
    </row>
    <row r="81" spans="1:8" ht="30">
      <c r="A81" s="6" t="s">
        <v>29</v>
      </c>
      <c r="B81" s="6">
        <f t="shared" si="5"/>
        <v>6</v>
      </c>
      <c r="C81" s="6" t="s">
        <v>2</v>
      </c>
      <c r="D81" s="6" t="str">
        <f t="shared" si="4"/>
        <v>6Trabajo HRPertinencia</v>
      </c>
      <c r="E81" s="29">
        <v>0.05</v>
      </c>
      <c r="F81" s="27">
        <v>4.5</v>
      </c>
      <c r="G81" s="23" t="s">
        <v>198</v>
      </c>
      <c r="H81" s="52"/>
    </row>
    <row r="82" spans="1:8" ht="45">
      <c r="A82" s="6" t="s">
        <v>29</v>
      </c>
      <c r="B82" s="6">
        <f t="shared" si="5"/>
        <v>6</v>
      </c>
      <c r="C82" s="6" t="s">
        <v>3</v>
      </c>
      <c r="D82" s="6" t="str">
        <f t="shared" si="4"/>
        <v>6Trabajo HRcódigo</v>
      </c>
      <c r="E82" s="29">
        <v>0.3</v>
      </c>
      <c r="F82" s="27">
        <v>4.5</v>
      </c>
      <c r="G82" s="23" t="s">
        <v>199</v>
      </c>
      <c r="H82" s="52"/>
    </row>
    <row r="83" spans="1:8" ht="45">
      <c r="A83" s="6" t="s">
        <v>29</v>
      </c>
      <c r="B83" s="6">
        <f t="shared" si="5"/>
        <v>6</v>
      </c>
      <c r="C83" s="6" t="s">
        <v>4</v>
      </c>
      <c r="D83" s="6" t="str">
        <f t="shared" si="4"/>
        <v>6Trabajo HRAnálisis</v>
      </c>
      <c r="E83" s="29">
        <v>0.35</v>
      </c>
      <c r="F83" s="27">
        <v>4.3</v>
      </c>
      <c r="G83" s="23" t="s">
        <v>197</v>
      </c>
      <c r="H83" s="52"/>
    </row>
    <row r="84" spans="1:8" ht="90">
      <c r="A84" s="6" t="s">
        <v>29</v>
      </c>
      <c r="B84" s="6">
        <f t="shared" si="5"/>
        <v>6</v>
      </c>
      <c r="C84" s="6" t="s">
        <v>5</v>
      </c>
      <c r="D84" s="6" t="str">
        <f t="shared" si="4"/>
        <v>6Trabajo HRRedacción</v>
      </c>
      <c r="E84" s="29">
        <v>0.2</v>
      </c>
      <c r="F84" s="27">
        <v>4</v>
      </c>
      <c r="G84" s="23" t="s">
        <v>196</v>
      </c>
      <c r="H84" s="52"/>
    </row>
    <row r="85" spans="1:8">
      <c r="A85" s="6" t="s">
        <v>29</v>
      </c>
      <c r="B85" s="6">
        <f t="shared" si="5"/>
        <v>6</v>
      </c>
      <c r="C85" s="6" t="s">
        <v>6</v>
      </c>
      <c r="D85" s="6" t="str">
        <f t="shared" si="4"/>
        <v>6Trabajo HRTotal</v>
      </c>
      <c r="E85" s="29">
        <f t="shared" ref="E85" si="9">SUM(E80:E84)</f>
        <v>1</v>
      </c>
      <c r="F85" s="27">
        <f>SUMPRODUCT(E80:E84,F80:F84)</f>
        <v>4.33</v>
      </c>
      <c r="G85" s="23"/>
      <c r="H85" s="52"/>
    </row>
    <row r="86" spans="1:8">
      <c r="A86" s="6" t="s">
        <v>29</v>
      </c>
      <c r="B86" s="6">
        <f t="shared" si="5"/>
        <v>7</v>
      </c>
      <c r="C86" s="6" t="s">
        <v>7</v>
      </c>
      <c r="D86" s="6" t="str">
        <f t="shared" ref="D86:D91" si="10">B86&amp;A86&amp;C86</f>
        <v>7Trabajo HRCreatividad</v>
      </c>
      <c r="E86" s="29">
        <v>0.1</v>
      </c>
      <c r="F86" s="27">
        <v>4</v>
      </c>
      <c r="G86" s="23" t="s">
        <v>203</v>
      </c>
      <c r="H86" s="64"/>
    </row>
    <row r="87" spans="1:8">
      <c r="A87" s="6" t="s">
        <v>29</v>
      </c>
      <c r="B87" s="6">
        <f t="shared" si="5"/>
        <v>7</v>
      </c>
      <c r="C87" s="6" t="s">
        <v>2</v>
      </c>
      <c r="D87" s="6" t="str">
        <f t="shared" si="10"/>
        <v>7Trabajo HRPertinencia</v>
      </c>
      <c r="E87" s="29">
        <v>0.05</v>
      </c>
      <c r="F87" s="27">
        <v>5</v>
      </c>
      <c r="G87" s="23"/>
      <c r="H87" s="64"/>
    </row>
    <row r="88" spans="1:8" ht="90">
      <c r="A88" s="6" t="s">
        <v>29</v>
      </c>
      <c r="B88" s="6">
        <f t="shared" si="5"/>
        <v>7</v>
      </c>
      <c r="C88" s="6" t="s">
        <v>3</v>
      </c>
      <c r="D88" s="6" t="str">
        <f t="shared" si="10"/>
        <v>7Trabajo HRcódigo</v>
      </c>
      <c r="E88" s="29">
        <v>0.3</v>
      </c>
      <c r="F88" s="27">
        <v>3.5</v>
      </c>
      <c r="G88" s="23" t="s">
        <v>200</v>
      </c>
      <c r="H88" s="64"/>
    </row>
    <row r="89" spans="1:8" ht="45">
      <c r="A89" s="6" t="s">
        <v>29</v>
      </c>
      <c r="B89" s="6">
        <f t="shared" si="5"/>
        <v>7</v>
      </c>
      <c r="C89" s="6" t="s">
        <v>4</v>
      </c>
      <c r="D89" s="6" t="str">
        <f t="shared" si="10"/>
        <v>7Trabajo HRAnálisis</v>
      </c>
      <c r="E89" s="29">
        <v>0.35</v>
      </c>
      <c r="F89" s="27">
        <v>4</v>
      </c>
      <c r="G89" s="23" t="s">
        <v>201</v>
      </c>
      <c r="H89" s="64"/>
    </row>
    <row r="90" spans="1:8" ht="45">
      <c r="A90" s="6" t="s">
        <v>29</v>
      </c>
      <c r="B90" s="6">
        <f t="shared" si="5"/>
        <v>7</v>
      </c>
      <c r="C90" s="6" t="s">
        <v>5</v>
      </c>
      <c r="D90" s="6" t="str">
        <f t="shared" si="10"/>
        <v>7Trabajo HRRedacción</v>
      </c>
      <c r="E90" s="29">
        <v>0.2</v>
      </c>
      <c r="F90" s="27">
        <v>4</v>
      </c>
      <c r="G90" s="23" t="s">
        <v>202</v>
      </c>
      <c r="H90" s="64"/>
    </row>
    <row r="91" spans="1:8">
      <c r="A91" s="6" t="s">
        <v>29</v>
      </c>
      <c r="B91" s="6">
        <f t="shared" si="5"/>
        <v>7</v>
      </c>
      <c r="C91" s="6" t="s">
        <v>6</v>
      </c>
      <c r="D91" s="6" t="str">
        <f t="shared" si="10"/>
        <v>7Trabajo HRTotal</v>
      </c>
      <c r="E91" s="29">
        <f t="shared" ref="E91" si="11">SUM(E86:E90)</f>
        <v>1</v>
      </c>
      <c r="F91" s="27">
        <f>SUMPRODUCT(E86:E90,F86:F90)</f>
        <v>3.9000000000000004</v>
      </c>
      <c r="G91" s="23"/>
      <c r="H91" s="64"/>
    </row>
    <row r="92" spans="1:8" ht="60">
      <c r="A92" s="6" t="s">
        <v>29</v>
      </c>
      <c r="B92" s="6">
        <f t="shared" si="5"/>
        <v>8</v>
      </c>
      <c r="C92" s="6" t="s">
        <v>7</v>
      </c>
      <c r="D92" s="6" t="str">
        <f t="shared" ref="D92:D97" si="12">B92&amp;A92&amp;C92</f>
        <v>8Trabajo HRCreatividad</v>
      </c>
      <c r="E92" s="29">
        <v>0.1</v>
      </c>
      <c r="F92" s="27">
        <v>4.5</v>
      </c>
      <c r="G92" s="23" t="s">
        <v>204</v>
      </c>
      <c r="H92" s="64"/>
    </row>
    <row r="93" spans="1:8" ht="30">
      <c r="A93" s="6" t="s">
        <v>29</v>
      </c>
      <c r="B93" s="6">
        <f t="shared" si="5"/>
        <v>8</v>
      </c>
      <c r="C93" s="6" t="s">
        <v>2</v>
      </c>
      <c r="D93" s="6" t="str">
        <f t="shared" si="12"/>
        <v>8Trabajo HRPertinencia</v>
      </c>
      <c r="E93" s="29">
        <v>0.05</v>
      </c>
      <c r="F93" s="27">
        <v>4.5</v>
      </c>
      <c r="G93" s="23" t="s">
        <v>207</v>
      </c>
      <c r="H93" s="64"/>
    </row>
    <row r="94" spans="1:8" ht="180">
      <c r="A94" s="6" t="s">
        <v>29</v>
      </c>
      <c r="B94" s="6">
        <f t="shared" si="5"/>
        <v>8</v>
      </c>
      <c r="C94" s="6" t="s">
        <v>3</v>
      </c>
      <c r="D94" s="6" t="str">
        <f t="shared" si="12"/>
        <v>8Trabajo HRcódigo</v>
      </c>
      <c r="E94" s="29">
        <v>0.3</v>
      </c>
      <c r="F94" s="27">
        <v>3</v>
      </c>
      <c r="G94" s="23" t="s">
        <v>208</v>
      </c>
      <c r="H94" s="64"/>
    </row>
    <row r="95" spans="1:8" ht="150">
      <c r="A95" s="6" t="s">
        <v>29</v>
      </c>
      <c r="B95" s="6">
        <f t="shared" si="5"/>
        <v>8</v>
      </c>
      <c r="C95" s="6" t="s">
        <v>4</v>
      </c>
      <c r="D95" s="6" t="str">
        <f t="shared" si="12"/>
        <v>8Trabajo HRAnálisis</v>
      </c>
      <c r="E95" s="29">
        <v>0.35</v>
      </c>
      <c r="F95" s="27">
        <v>4</v>
      </c>
      <c r="G95" s="23" t="s">
        <v>206</v>
      </c>
      <c r="H95" s="64"/>
    </row>
    <row r="96" spans="1:8" ht="75">
      <c r="A96" s="6" t="s">
        <v>29</v>
      </c>
      <c r="B96" s="6">
        <f t="shared" si="5"/>
        <v>8</v>
      </c>
      <c r="C96" s="6" t="s">
        <v>5</v>
      </c>
      <c r="D96" s="6" t="str">
        <f t="shared" si="12"/>
        <v>8Trabajo HRRedacción</v>
      </c>
      <c r="E96" s="29">
        <v>0.2</v>
      </c>
      <c r="F96" s="27">
        <v>4</v>
      </c>
      <c r="G96" s="23" t="s">
        <v>205</v>
      </c>
      <c r="H96" s="64"/>
    </row>
    <row r="97" spans="1:8">
      <c r="A97" s="6" t="s">
        <v>29</v>
      </c>
      <c r="B97" s="6">
        <f t="shared" si="5"/>
        <v>8</v>
      </c>
      <c r="C97" s="6" t="s">
        <v>6</v>
      </c>
      <c r="D97" s="6" t="str">
        <f t="shared" si="12"/>
        <v>8Trabajo HRTotal</v>
      </c>
      <c r="E97" s="29">
        <f t="shared" ref="E97" si="13">SUM(E92:E96)</f>
        <v>1</v>
      </c>
      <c r="F97" s="27">
        <f>SUMPRODUCT(E92:E96,F92:F96)</f>
        <v>3.7749999999999995</v>
      </c>
      <c r="G97" s="23"/>
      <c r="H97" s="64"/>
    </row>
    <row r="98" spans="1:8">
      <c r="A98" s="10" t="s">
        <v>50</v>
      </c>
      <c r="B98" s="6">
        <v>1</v>
      </c>
      <c r="C98" s="6" t="s">
        <v>20</v>
      </c>
      <c r="D98" s="6" t="str">
        <f t="shared" ref="D98:D119" si="14">B98&amp;A98&amp;C98</f>
        <v>14. Presentación de avances markClaridad</v>
      </c>
      <c r="E98" s="29">
        <v>0.2</v>
      </c>
      <c r="F98" s="27">
        <v>5</v>
      </c>
      <c r="G98" s="23"/>
      <c r="H98" s="64"/>
    </row>
    <row r="99" spans="1:8">
      <c r="A99" s="10" t="s">
        <v>50</v>
      </c>
      <c r="B99" s="6">
        <v>1</v>
      </c>
      <c r="C99" s="6" t="s">
        <v>21</v>
      </c>
      <c r="D99" s="6" t="str">
        <f t="shared" si="14"/>
        <v>14. Presentación de avances markAvance</v>
      </c>
      <c r="E99" s="29">
        <v>0.2</v>
      </c>
      <c r="F99" s="27">
        <v>5</v>
      </c>
      <c r="G99" s="23"/>
      <c r="H99" s="64"/>
    </row>
    <row r="100" spans="1:8">
      <c r="A100" s="10" t="s">
        <v>50</v>
      </c>
      <c r="B100" s="6">
        <v>1</v>
      </c>
      <c r="C100" s="6" t="s">
        <v>22</v>
      </c>
      <c r="D100" s="6" t="str">
        <f t="shared" si="14"/>
        <v>14. Presentación de avances markComprensión</v>
      </c>
      <c r="E100" s="29">
        <v>0.2</v>
      </c>
      <c r="F100" s="27">
        <v>5</v>
      </c>
      <c r="G100" s="23"/>
      <c r="H100" s="64"/>
    </row>
    <row r="101" spans="1:8">
      <c r="A101" s="10" t="s">
        <v>50</v>
      </c>
      <c r="B101" s="6">
        <v>1</v>
      </c>
      <c r="C101" s="6" t="s">
        <v>23</v>
      </c>
      <c r="D101" s="6" t="str">
        <f t="shared" si="14"/>
        <v>14. Presentación de avances markInnovación</v>
      </c>
      <c r="E101" s="29">
        <v>0.2</v>
      </c>
      <c r="F101" s="27">
        <v>5</v>
      </c>
      <c r="G101" s="23"/>
      <c r="H101" s="64"/>
    </row>
    <row r="102" spans="1:8">
      <c r="A102" s="10" t="s">
        <v>50</v>
      </c>
      <c r="B102" s="6">
        <v>1</v>
      </c>
      <c r="C102" s="6" t="s">
        <v>24</v>
      </c>
      <c r="D102" s="6" t="str">
        <f t="shared" si="14"/>
        <v>14. Presentación de avances markErrores</v>
      </c>
      <c r="E102" s="29">
        <v>0.2</v>
      </c>
      <c r="F102" s="27">
        <v>5</v>
      </c>
      <c r="H102" s="64"/>
    </row>
    <row r="103" spans="1:8">
      <c r="A103" s="10" t="s">
        <v>50</v>
      </c>
      <c r="B103" s="6">
        <v>1</v>
      </c>
      <c r="C103" s="6" t="s">
        <v>6</v>
      </c>
      <c r="D103" s="6" t="str">
        <f t="shared" si="14"/>
        <v>14. Presentación de avances markTotal</v>
      </c>
      <c r="E103" s="29">
        <f t="shared" ref="E103" si="15">SUM(E98:E102)</f>
        <v>1</v>
      </c>
      <c r="F103" s="27">
        <v>5</v>
      </c>
      <c r="G103" s="23"/>
      <c r="H103" s="64"/>
    </row>
    <row r="104" spans="1:8">
      <c r="A104" s="10" t="s">
        <v>50</v>
      </c>
      <c r="B104" s="6">
        <f>B98+1</f>
        <v>2</v>
      </c>
      <c r="C104" s="6" t="s">
        <v>20</v>
      </c>
      <c r="D104" s="6" t="str">
        <f t="shared" si="14"/>
        <v>24. Presentación de avances markClaridad</v>
      </c>
      <c r="E104" s="29">
        <v>0.2</v>
      </c>
      <c r="F104" s="27">
        <v>5</v>
      </c>
      <c r="G104" s="23"/>
      <c r="H104" s="57"/>
    </row>
    <row r="105" spans="1:8">
      <c r="A105" s="10" t="s">
        <v>50</v>
      </c>
      <c r="B105" s="6">
        <f t="shared" ref="B105:B144" si="16">B99+1</f>
        <v>2</v>
      </c>
      <c r="C105" s="6" t="s">
        <v>21</v>
      </c>
      <c r="D105" s="6" t="str">
        <f t="shared" si="14"/>
        <v>24. Presentación de avances markAvance</v>
      </c>
      <c r="E105" s="29">
        <v>0.2</v>
      </c>
      <c r="F105" s="27">
        <v>5</v>
      </c>
      <c r="G105" s="23"/>
      <c r="H105" s="57"/>
    </row>
    <row r="106" spans="1:8">
      <c r="A106" s="10" t="s">
        <v>50</v>
      </c>
      <c r="B106" s="6">
        <f t="shared" si="16"/>
        <v>2</v>
      </c>
      <c r="C106" s="6" t="s">
        <v>22</v>
      </c>
      <c r="D106" s="6" t="str">
        <f t="shared" si="14"/>
        <v>24. Presentación de avances markComprensión</v>
      </c>
      <c r="E106" s="29">
        <v>0.2</v>
      </c>
      <c r="F106" s="27">
        <v>5</v>
      </c>
      <c r="G106" s="23"/>
      <c r="H106" s="57"/>
    </row>
    <row r="107" spans="1:8">
      <c r="A107" s="10" t="s">
        <v>50</v>
      </c>
      <c r="B107" s="6">
        <f t="shared" si="16"/>
        <v>2</v>
      </c>
      <c r="C107" s="6" t="s">
        <v>23</v>
      </c>
      <c r="D107" s="6" t="str">
        <f t="shared" si="14"/>
        <v>24. Presentación de avances markInnovación</v>
      </c>
      <c r="E107" s="29">
        <v>0.2</v>
      </c>
      <c r="F107" s="27">
        <v>5</v>
      </c>
      <c r="G107" s="23"/>
      <c r="H107" s="57"/>
    </row>
    <row r="108" spans="1:8">
      <c r="A108" s="10" t="s">
        <v>50</v>
      </c>
      <c r="B108" s="6">
        <f t="shared" si="16"/>
        <v>2</v>
      </c>
      <c r="C108" s="6" t="s">
        <v>24</v>
      </c>
      <c r="D108" s="6" t="str">
        <f t="shared" si="14"/>
        <v>24. Presentación de avances markErrores</v>
      </c>
      <c r="E108" s="29">
        <v>0.2</v>
      </c>
      <c r="F108" s="27">
        <v>5</v>
      </c>
      <c r="G108" s="23"/>
      <c r="H108" s="57"/>
    </row>
    <row r="109" spans="1:8">
      <c r="A109" s="10" t="s">
        <v>50</v>
      </c>
      <c r="B109" s="6">
        <f t="shared" si="16"/>
        <v>2</v>
      </c>
      <c r="C109" s="6" t="s">
        <v>6</v>
      </c>
      <c r="D109" s="6" t="str">
        <f t="shared" si="14"/>
        <v>24. Presentación de avances markTotal</v>
      </c>
      <c r="E109" s="29">
        <f t="shared" ref="E109:E133" si="17">SUM(E104:E108)</f>
        <v>1</v>
      </c>
      <c r="F109" s="27">
        <f>SUMPRODUCT(E104:E108,F104:F108)</f>
        <v>5</v>
      </c>
      <c r="G109" s="23"/>
      <c r="H109" s="57"/>
    </row>
    <row r="110" spans="1:8" ht="30">
      <c r="A110" s="10" t="s">
        <v>50</v>
      </c>
      <c r="B110" s="6">
        <f t="shared" si="16"/>
        <v>3</v>
      </c>
      <c r="C110" s="6" t="s">
        <v>20</v>
      </c>
      <c r="D110" s="6" t="str">
        <f t="shared" si="14"/>
        <v>34. Presentación de avances markClaridad</v>
      </c>
      <c r="E110" s="29">
        <v>0.2</v>
      </c>
      <c r="F110" s="27">
        <v>4</v>
      </c>
      <c r="G110" s="23" t="s">
        <v>211</v>
      </c>
      <c r="H110" s="64"/>
    </row>
    <row r="111" spans="1:8">
      <c r="A111" s="10" t="s">
        <v>50</v>
      </c>
      <c r="B111" s="6">
        <f t="shared" si="16"/>
        <v>3</v>
      </c>
      <c r="C111" s="6" t="s">
        <v>21</v>
      </c>
      <c r="D111" s="6" t="str">
        <f t="shared" si="14"/>
        <v>34. Presentación de avances markAvance</v>
      </c>
      <c r="E111" s="29">
        <v>0.2</v>
      </c>
      <c r="F111" s="27">
        <v>4.5</v>
      </c>
      <c r="G111" s="23" t="s">
        <v>210</v>
      </c>
      <c r="H111" s="64"/>
    </row>
    <row r="112" spans="1:8">
      <c r="A112" s="10" t="s">
        <v>50</v>
      </c>
      <c r="B112" s="6">
        <f t="shared" si="16"/>
        <v>3</v>
      </c>
      <c r="C112" s="6" t="s">
        <v>22</v>
      </c>
      <c r="D112" s="6" t="str">
        <f t="shared" si="14"/>
        <v>34. Presentación de avances markComprensión</v>
      </c>
      <c r="E112" s="29">
        <v>0.2</v>
      </c>
      <c r="F112" s="27">
        <v>5</v>
      </c>
      <c r="G112" s="23"/>
      <c r="H112" s="64"/>
    </row>
    <row r="113" spans="1:8">
      <c r="A113" s="10" t="s">
        <v>50</v>
      </c>
      <c r="B113" s="6">
        <f t="shared" si="16"/>
        <v>3</v>
      </c>
      <c r="C113" s="6" t="s">
        <v>23</v>
      </c>
      <c r="D113" s="6" t="str">
        <f t="shared" si="14"/>
        <v>34. Presentación de avances markInnovación</v>
      </c>
      <c r="E113" s="29">
        <v>0.2</v>
      </c>
      <c r="F113" s="27">
        <v>5</v>
      </c>
      <c r="G113" s="23"/>
      <c r="H113" s="64"/>
    </row>
    <row r="114" spans="1:8">
      <c r="A114" s="10" t="s">
        <v>50</v>
      </c>
      <c r="B114" s="6">
        <f t="shared" si="16"/>
        <v>3</v>
      </c>
      <c r="C114" s="6" t="s">
        <v>24</v>
      </c>
      <c r="D114" s="6" t="str">
        <f t="shared" si="14"/>
        <v>34. Presentación de avances markErrores</v>
      </c>
      <c r="E114" s="29">
        <v>0.2</v>
      </c>
      <c r="F114" s="27">
        <v>4</v>
      </c>
      <c r="G114" s="23" t="s">
        <v>209</v>
      </c>
      <c r="H114" s="64"/>
    </row>
    <row r="115" spans="1:8">
      <c r="A115" s="10" t="s">
        <v>50</v>
      </c>
      <c r="B115" s="6">
        <f t="shared" si="16"/>
        <v>3</v>
      </c>
      <c r="C115" s="6" t="s">
        <v>6</v>
      </c>
      <c r="D115" s="6" t="str">
        <f t="shared" si="14"/>
        <v>34. Presentación de avances markTotal</v>
      </c>
      <c r="E115" s="29">
        <f t="shared" si="17"/>
        <v>1</v>
      </c>
      <c r="F115" s="27">
        <f>SUMPRODUCT(E110:E114,F110:F114)</f>
        <v>4.5</v>
      </c>
      <c r="G115" s="23"/>
      <c r="H115" s="64"/>
    </row>
    <row r="116" spans="1:8" ht="30">
      <c r="A116" s="10" t="s">
        <v>50</v>
      </c>
      <c r="B116" s="6">
        <f t="shared" si="16"/>
        <v>4</v>
      </c>
      <c r="C116" s="6" t="s">
        <v>20</v>
      </c>
      <c r="D116" s="6" t="str">
        <f t="shared" si="14"/>
        <v>44. Presentación de avances markClaridad</v>
      </c>
      <c r="E116" s="29">
        <v>0.2</v>
      </c>
      <c r="F116" s="27">
        <v>4</v>
      </c>
      <c r="G116" s="23" t="s">
        <v>216</v>
      </c>
      <c r="H116" s="64"/>
    </row>
    <row r="117" spans="1:8">
      <c r="A117" s="10" t="s">
        <v>50</v>
      </c>
      <c r="B117" s="6">
        <f t="shared" si="16"/>
        <v>4</v>
      </c>
      <c r="C117" s="6" t="s">
        <v>21</v>
      </c>
      <c r="D117" s="6" t="str">
        <f t="shared" si="14"/>
        <v>44. Presentación de avances markAvance</v>
      </c>
      <c r="E117" s="29">
        <v>0.2</v>
      </c>
      <c r="F117" s="27">
        <v>5</v>
      </c>
      <c r="G117" s="23"/>
      <c r="H117" s="67"/>
    </row>
    <row r="118" spans="1:8" ht="30">
      <c r="A118" s="10" t="s">
        <v>50</v>
      </c>
      <c r="B118" s="6">
        <f t="shared" si="16"/>
        <v>4</v>
      </c>
      <c r="C118" s="6" t="s">
        <v>22</v>
      </c>
      <c r="D118" s="6" t="str">
        <f t="shared" si="14"/>
        <v>44. Presentación de avances markComprensión</v>
      </c>
      <c r="E118" s="29">
        <v>0.2</v>
      </c>
      <c r="F118" s="27">
        <v>5</v>
      </c>
      <c r="G118" s="23" t="s">
        <v>217</v>
      </c>
      <c r="H118" s="67"/>
    </row>
    <row r="119" spans="1:8">
      <c r="A119" s="10" t="s">
        <v>50</v>
      </c>
      <c r="B119" s="6">
        <f>B113+1</f>
        <v>4</v>
      </c>
      <c r="C119" s="6" t="s">
        <v>23</v>
      </c>
      <c r="D119" s="6" t="str">
        <f t="shared" si="14"/>
        <v>44. Presentación de avances markInnovación</v>
      </c>
      <c r="E119" s="29">
        <v>0.2</v>
      </c>
      <c r="F119" s="27">
        <v>5</v>
      </c>
      <c r="G119" s="23"/>
      <c r="H119" s="67"/>
    </row>
    <row r="120" spans="1:8" ht="30">
      <c r="A120" s="10" t="s">
        <v>50</v>
      </c>
      <c r="B120" s="6">
        <f t="shared" si="16"/>
        <v>4</v>
      </c>
      <c r="C120" s="6" t="s">
        <v>24</v>
      </c>
      <c r="D120" s="6" t="str">
        <f t="shared" ref="D120:D127" si="18">B120&amp;A120&amp;C120</f>
        <v>44. Presentación de avances markErrores</v>
      </c>
      <c r="E120" s="29">
        <v>0.2</v>
      </c>
      <c r="F120" s="27">
        <v>4.5</v>
      </c>
      <c r="G120" s="23" t="s">
        <v>220</v>
      </c>
      <c r="H120" s="67"/>
    </row>
    <row r="121" spans="1:8">
      <c r="A121" s="10" t="s">
        <v>50</v>
      </c>
      <c r="B121" s="6">
        <f>B115+1</f>
        <v>4</v>
      </c>
      <c r="C121" s="6" t="s">
        <v>6</v>
      </c>
      <c r="D121" s="6" t="str">
        <f t="shared" si="18"/>
        <v>44. Presentación de avances markTotal</v>
      </c>
      <c r="E121" s="29">
        <f t="shared" si="17"/>
        <v>1</v>
      </c>
      <c r="F121" s="27">
        <f>SUMPRODUCT(E116:E120,F116:F120)</f>
        <v>4.7</v>
      </c>
      <c r="G121" s="23"/>
      <c r="H121" s="67"/>
    </row>
    <row r="122" spans="1:8">
      <c r="A122" s="10" t="s">
        <v>50</v>
      </c>
      <c r="B122" s="6">
        <f t="shared" si="16"/>
        <v>5</v>
      </c>
      <c r="C122" s="6" t="s">
        <v>20</v>
      </c>
      <c r="D122" s="6" t="str">
        <f t="shared" si="18"/>
        <v>54. Presentación de avances markClaridad</v>
      </c>
      <c r="E122" s="29">
        <v>0.2</v>
      </c>
      <c r="F122" s="27">
        <v>0</v>
      </c>
      <c r="G122" s="23"/>
      <c r="H122" s="64"/>
    </row>
    <row r="123" spans="1:8">
      <c r="A123" s="10" t="s">
        <v>50</v>
      </c>
      <c r="B123" s="6">
        <f t="shared" si="16"/>
        <v>5</v>
      </c>
      <c r="C123" s="6" t="s">
        <v>21</v>
      </c>
      <c r="D123" s="6" t="str">
        <f t="shared" si="18"/>
        <v>54. Presentación de avances markAvance</v>
      </c>
      <c r="E123" s="29">
        <v>0.2</v>
      </c>
      <c r="F123" s="27">
        <v>0</v>
      </c>
      <c r="G123" s="23"/>
      <c r="H123" s="64"/>
    </row>
    <row r="124" spans="1:8">
      <c r="A124" s="10" t="s">
        <v>50</v>
      </c>
      <c r="B124" s="6">
        <f t="shared" si="16"/>
        <v>5</v>
      </c>
      <c r="C124" s="6" t="s">
        <v>22</v>
      </c>
      <c r="D124" s="6" t="str">
        <f t="shared" si="18"/>
        <v>54. Presentación de avances markComprensión</v>
      </c>
      <c r="E124" s="29">
        <v>0.2</v>
      </c>
      <c r="F124" s="27">
        <v>0</v>
      </c>
      <c r="G124" s="23"/>
      <c r="H124" s="64"/>
    </row>
    <row r="125" spans="1:8">
      <c r="A125" s="10" t="s">
        <v>50</v>
      </c>
      <c r="B125" s="6">
        <f>B119+1</f>
        <v>5</v>
      </c>
      <c r="C125" s="6" t="s">
        <v>23</v>
      </c>
      <c r="D125" s="6" t="str">
        <f t="shared" si="18"/>
        <v>54. Presentación de avances markInnovación</v>
      </c>
      <c r="E125" s="29">
        <v>0.2</v>
      </c>
      <c r="F125" s="27">
        <v>0</v>
      </c>
      <c r="G125" s="23"/>
      <c r="H125" s="64"/>
    </row>
    <row r="126" spans="1:8">
      <c r="A126" s="10" t="s">
        <v>50</v>
      </c>
      <c r="B126" s="6">
        <f t="shared" si="16"/>
        <v>5</v>
      </c>
      <c r="C126" s="6" t="s">
        <v>24</v>
      </c>
      <c r="D126" s="6" t="str">
        <f t="shared" si="18"/>
        <v>54. Presentación de avances markErrores</v>
      </c>
      <c r="E126" s="29">
        <v>0.2</v>
      </c>
      <c r="F126" s="27">
        <v>0</v>
      </c>
      <c r="G126" s="23"/>
      <c r="H126" s="64"/>
    </row>
    <row r="127" spans="1:8">
      <c r="A127" s="10" t="s">
        <v>50</v>
      </c>
      <c r="B127" s="6">
        <f>B121+1</f>
        <v>5</v>
      </c>
      <c r="C127" s="6" t="s">
        <v>6</v>
      </c>
      <c r="D127" s="6" t="str">
        <f t="shared" si="18"/>
        <v>54. Presentación de avances markTotal</v>
      </c>
      <c r="E127" s="29">
        <f t="shared" si="17"/>
        <v>1</v>
      </c>
      <c r="F127" s="27">
        <v>0</v>
      </c>
      <c r="G127" s="23"/>
      <c r="H127" s="64"/>
    </row>
    <row r="128" spans="1:8">
      <c r="A128" s="10" t="s">
        <v>50</v>
      </c>
      <c r="B128" s="6">
        <f t="shared" si="16"/>
        <v>6</v>
      </c>
      <c r="C128" s="6" t="s">
        <v>20</v>
      </c>
      <c r="D128" s="6" t="str">
        <f>B128&amp;A128&amp;C128</f>
        <v>64. Presentación de avances markClaridad</v>
      </c>
      <c r="E128" s="29">
        <v>0.2</v>
      </c>
      <c r="F128" s="27"/>
      <c r="G128" s="23"/>
      <c r="H128" s="5"/>
    </row>
    <row r="129" spans="1:8">
      <c r="A129" s="10" t="s">
        <v>50</v>
      </c>
      <c r="B129" s="6">
        <f t="shared" si="16"/>
        <v>6</v>
      </c>
      <c r="C129" s="6" t="s">
        <v>21</v>
      </c>
      <c r="D129" s="6" t="str">
        <f t="shared" ref="D129:D132" si="19">B129&amp;A129&amp;C129</f>
        <v>64. Presentación de avances markAvance</v>
      </c>
      <c r="E129" s="29">
        <v>0.2</v>
      </c>
      <c r="F129" s="27"/>
      <c r="G129" s="23"/>
      <c r="H129" s="5"/>
    </row>
    <row r="130" spans="1:8">
      <c r="A130" s="10" t="s">
        <v>50</v>
      </c>
      <c r="B130" s="6">
        <f t="shared" si="16"/>
        <v>6</v>
      </c>
      <c r="C130" s="6" t="s">
        <v>22</v>
      </c>
      <c r="D130" s="6" t="str">
        <f t="shared" si="19"/>
        <v>64. Presentación de avances markComprensión</v>
      </c>
      <c r="E130" s="29">
        <v>0.2</v>
      </c>
      <c r="F130" s="27"/>
      <c r="G130" s="23"/>
      <c r="H130" s="5"/>
    </row>
    <row r="131" spans="1:8">
      <c r="A131" s="10" t="s">
        <v>50</v>
      </c>
      <c r="B131" s="6">
        <f>B125+1</f>
        <v>6</v>
      </c>
      <c r="C131" s="6" t="s">
        <v>23</v>
      </c>
      <c r="D131" s="6" t="str">
        <f t="shared" si="19"/>
        <v>64. Presentación de avances markInnovación</v>
      </c>
      <c r="E131" s="29">
        <v>0.2</v>
      </c>
      <c r="F131" s="27"/>
      <c r="G131" s="23"/>
      <c r="H131" s="5"/>
    </row>
    <row r="132" spans="1:8">
      <c r="A132" s="10" t="s">
        <v>50</v>
      </c>
      <c r="B132" s="6">
        <f t="shared" si="16"/>
        <v>6</v>
      </c>
      <c r="C132" s="6" t="s">
        <v>24</v>
      </c>
      <c r="D132" s="6" t="str">
        <f t="shared" si="19"/>
        <v>64. Presentación de avances markErrores</v>
      </c>
      <c r="E132" s="29">
        <v>0.2</v>
      </c>
      <c r="F132" s="27"/>
      <c r="G132" s="23"/>
      <c r="H132" s="5"/>
    </row>
    <row r="133" spans="1:8">
      <c r="A133" s="10" t="s">
        <v>50</v>
      </c>
      <c r="B133" s="6">
        <f>B127+1</f>
        <v>6</v>
      </c>
      <c r="C133" s="6" t="s">
        <v>6</v>
      </c>
      <c r="D133" s="6" t="str">
        <f>B133&amp;A133&amp;C133</f>
        <v>64. Presentación de avances markTotal</v>
      </c>
      <c r="E133" s="29">
        <f t="shared" si="17"/>
        <v>1</v>
      </c>
      <c r="F133" s="27"/>
      <c r="G133" s="23"/>
      <c r="H133" s="5"/>
    </row>
    <row r="134" spans="1:8" ht="90">
      <c r="A134" s="10" t="s">
        <v>50</v>
      </c>
      <c r="B134" s="6">
        <f t="shared" si="16"/>
        <v>7</v>
      </c>
      <c r="C134" s="6" t="s">
        <v>20</v>
      </c>
      <c r="D134" s="6" t="str">
        <f>B134&amp;A134&amp;C134</f>
        <v>74. Presentación de avances markClaridad</v>
      </c>
      <c r="E134" s="29">
        <v>0.2</v>
      </c>
      <c r="F134" s="27">
        <v>4</v>
      </c>
      <c r="G134" s="23" t="s">
        <v>221</v>
      </c>
      <c r="H134" s="58"/>
    </row>
    <row r="135" spans="1:8">
      <c r="A135" s="10" t="s">
        <v>50</v>
      </c>
      <c r="B135" s="6">
        <f t="shared" si="16"/>
        <v>7</v>
      </c>
      <c r="C135" s="6" t="s">
        <v>21</v>
      </c>
      <c r="D135" s="6" t="str">
        <f t="shared" ref="D135:D138" si="20">B135&amp;A135&amp;C135</f>
        <v>74. Presentación de avances markAvance</v>
      </c>
      <c r="E135" s="29">
        <v>0.2</v>
      </c>
      <c r="F135" s="27">
        <v>5</v>
      </c>
      <c r="G135" s="23"/>
      <c r="H135" s="59"/>
    </row>
    <row r="136" spans="1:8" ht="45">
      <c r="A136" s="10" t="s">
        <v>50</v>
      </c>
      <c r="B136" s="6">
        <f t="shared" si="16"/>
        <v>7</v>
      </c>
      <c r="C136" s="6" t="s">
        <v>22</v>
      </c>
      <c r="D136" s="6" t="str">
        <f t="shared" si="20"/>
        <v>74. Presentación de avances markComprensión</v>
      </c>
      <c r="E136" s="29">
        <v>0.2</v>
      </c>
      <c r="F136" s="27">
        <v>4</v>
      </c>
      <c r="G136" s="23" t="s">
        <v>218</v>
      </c>
      <c r="H136" s="59"/>
    </row>
    <row r="137" spans="1:8" ht="45">
      <c r="A137" s="10" t="s">
        <v>50</v>
      </c>
      <c r="B137" s="6">
        <f>B131+1</f>
        <v>7</v>
      </c>
      <c r="C137" s="6" t="s">
        <v>23</v>
      </c>
      <c r="D137" s="6" t="str">
        <f t="shared" si="20"/>
        <v>74. Presentación de avances markInnovación</v>
      </c>
      <c r="E137" s="29">
        <v>0.2</v>
      </c>
      <c r="F137" s="27">
        <v>4</v>
      </c>
      <c r="G137" s="23" t="s">
        <v>219</v>
      </c>
      <c r="H137" s="59"/>
    </row>
    <row r="138" spans="1:8">
      <c r="A138" s="10" t="s">
        <v>50</v>
      </c>
      <c r="B138" s="6">
        <f t="shared" si="16"/>
        <v>7</v>
      </c>
      <c r="C138" s="6" t="s">
        <v>24</v>
      </c>
      <c r="D138" s="6" t="str">
        <f t="shared" si="20"/>
        <v>74. Presentación de avances markErrores</v>
      </c>
      <c r="E138" s="29">
        <v>0.2</v>
      </c>
      <c r="F138" s="27">
        <v>5</v>
      </c>
      <c r="G138" s="23"/>
      <c r="H138" s="59"/>
    </row>
    <row r="139" spans="1:8">
      <c r="A139" s="10" t="s">
        <v>50</v>
      </c>
      <c r="B139" s="6">
        <f>B133+1</f>
        <v>7</v>
      </c>
      <c r="C139" s="6" t="s">
        <v>6</v>
      </c>
      <c r="D139" s="6" t="str">
        <f>B139&amp;A139&amp;C139</f>
        <v>74. Presentación de avances markTotal</v>
      </c>
      <c r="E139" s="29">
        <f t="shared" ref="E139" si="21">SUM(E134:E138)</f>
        <v>1</v>
      </c>
      <c r="F139" s="27">
        <f>SUMPRODUCT(E134:E138,F134:F138)</f>
        <v>4.4000000000000004</v>
      </c>
      <c r="G139" s="23"/>
      <c r="H139" s="60"/>
    </row>
    <row r="140" spans="1:8" ht="60">
      <c r="A140" s="10" t="s">
        <v>50</v>
      </c>
      <c r="B140" s="6">
        <f t="shared" si="16"/>
        <v>8</v>
      </c>
      <c r="C140" s="6" t="s">
        <v>20</v>
      </c>
      <c r="D140" s="6" t="str">
        <f>B140&amp;A140&amp;C140</f>
        <v>84. Presentación de avances markClaridad</v>
      </c>
      <c r="E140" s="29">
        <v>0.2</v>
      </c>
      <c r="F140" s="27">
        <v>3.5</v>
      </c>
      <c r="G140" s="23" t="s">
        <v>212</v>
      </c>
      <c r="H140" s="5"/>
    </row>
    <row r="141" spans="1:8" ht="30">
      <c r="A141" s="10" t="s">
        <v>50</v>
      </c>
      <c r="B141" s="6">
        <f t="shared" si="16"/>
        <v>8</v>
      </c>
      <c r="C141" s="6" t="s">
        <v>21</v>
      </c>
      <c r="D141" s="6" t="str">
        <f t="shared" ref="D141:D144" si="22">B141&amp;A141&amp;C141</f>
        <v>84. Presentación de avances markAvance</v>
      </c>
      <c r="E141" s="29">
        <v>0.2</v>
      </c>
      <c r="F141" s="27">
        <v>4</v>
      </c>
      <c r="G141" s="23" t="s">
        <v>213</v>
      </c>
      <c r="H141" s="5"/>
    </row>
    <row r="142" spans="1:8">
      <c r="A142" s="10" t="s">
        <v>50</v>
      </c>
      <c r="B142" s="6">
        <f t="shared" si="16"/>
        <v>8</v>
      </c>
      <c r="C142" s="6" t="s">
        <v>22</v>
      </c>
      <c r="D142" s="6" t="str">
        <f t="shared" si="22"/>
        <v>84. Presentación de avances markComprensión</v>
      </c>
      <c r="E142" s="29">
        <v>0.2</v>
      </c>
      <c r="F142" s="27">
        <v>5</v>
      </c>
      <c r="G142" s="23"/>
      <c r="H142" s="5"/>
    </row>
    <row r="143" spans="1:8">
      <c r="A143" s="10" t="s">
        <v>50</v>
      </c>
      <c r="B143" s="6">
        <f>B137+1</f>
        <v>8</v>
      </c>
      <c r="C143" s="6" t="s">
        <v>23</v>
      </c>
      <c r="D143" s="6" t="str">
        <f t="shared" si="22"/>
        <v>84. Presentación de avances markInnovación</v>
      </c>
      <c r="E143" s="29">
        <v>0.2</v>
      </c>
      <c r="F143" s="27">
        <v>4</v>
      </c>
      <c r="G143" s="23" t="s">
        <v>214</v>
      </c>
      <c r="H143" s="5"/>
    </row>
    <row r="144" spans="1:8" ht="30">
      <c r="A144" s="10" t="s">
        <v>50</v>
      </c>
      <c r="B144" s="6">
        <f t="shared" si="16"/>
        <v>8</v>
      </c>
      <c r="C144" s="6" t="s">
        <v>24</v>
      </c>
      <c r="D144" s="6" t="str">
        <f t="shared" si="22"/>
        <v>84. Presentación de avances markErrores</v>
      </c>
      <c r="E144" s="29">
        <v>0.2</v>
      </c>
      <c r="F144" s="27">
        <v>4</v>
      </c>
      <c r="G144" s="23" t="s">
        <v>215</v>
      </c>
      <c r="H144" s="5"/>
    </row>
    <row r="145" spans="1:8">
      <c r="A145" s="10" t="s">
        <v>50</v>
      </c>
      <c r="B145" s="6">
        <f>B139+1</f>
        <v>8</v>
      </c>
      <c r="C145" s="6" t="s">
        <v>6</v>
      </c>
      <c r="D145" s="6" t="str">
        <f>B145&amp;A145&amp;C145</f>
        <v>84. Presentación de avances markTotal</v>
      </c>
      <c r="E145" s="29">
        <f t="shared" ref="E145" si="23">SUM(E140:E144)</f>
        <v>1</v>
      </c>
      <c r="F145" s="27">
        <f>SUMPRODUCT(E140:E144,F140:F144)</f>
        <v>4.0999999999999996</v>
      </c>
      <c r="G145" s="23"/>
      <c r="H145" s="5"/>
    </row>
    <row r="146" spans="1:8">
      <c r="A146" s="6" t="s">
        <v>28</v>
      </c>
      <c r="B146" s="6">
        <v>1</v>
      </c>
      <c r="C146" s="6" t="s">
        <v>7</v>
      </c>
      <c r="D146" s="6" t="str">
        <f t="shared" ref="D146:D157" si="24">B146&amp;A146&amp;C146</f>
        <v>1Trabajo MarketingCreatividad</v>
      </c>
      <c r="E146" s="29">
        <v>0.1</v>
      </c>
      <c r="F146" s="27">
        <v>5</v>
      </c>
      <c r="G146" s="23"/>
      <c r="H146" s="5"/>
    </row>
    <row r="147" spans="1:8">
      <c r="A147" s="6" t="s">
        <v>28</v>
      </c>
      <c r="B147" s="6">
        <v>1</v>
      </c>
      <c r="C147" s="6" t="s">
        <v>2</v>
      </c>
      <c r="D147" s="6" t="str">
        <f t="shared" si="24"/>
        <v>1Trabajo MarketingPertinencia</v>
      </c>
      <c r="E147" s="29">
        <v>0.05</v>
      </c>
      <c r="F147" s="27">
        <v>5</v>
      </c>
      <c r="G147" s="23"/>
      <c r="H147" s="5"/>
    </row>
    <row r="148" spans="1:8">
      <c r="A148" s="6" t="s">
        <v>28</v>
      </c>
      <c r="B148" s="6">
        <v>1</v>
      </c>
      <c r="C148" s="6" t="s">
        <v>3</v>
      </c>
      <c r="D148" s="6" t="str">
        <f t="shared" si="24"/>
        <v>1Trabajo Marketingcódigo</v>
      </c>
      <c r="E148" s="29">
        <v>0.3</v>
      </c>
      <c r="F148" s="27">
        <v>5</v>
      </c>
      <c r="G148" s="23"/>
      <c r="H148" s="5"/>
    </row>
    <row r="149" spans="1:8">
      <c r="A149" s="6" t="s">
        <v>28</v>
      </c>
      <c r="B149" s="6">
        <v>1</v>
      </c>
      <c r="C149" s="6" t="s">
        <v>4</v>
      </c>
      <c r="D149" s="6" t="str">
        <f t="shared" si="24"/>
        <v>1Trabajo MarketingAnálisis</v>
      </c>
      <c r="E149" s="29">
        <v>0.35</v>
      </c>
      <c r="F149" s="27">
        <v>5</v>
      </c>
      <c r="G149" s="23"/>
      <c r="H149" s="5"/>
    </row>
    <row r="150" spans="1:8">
      <c r="A150" s="6" t="s">
        <v>28</v>
      </c>
      <c r="B150" s="6">
        <v>1</v>
      </c>
      <c r="C150" s="6" t="s">
        <v>5</v>
      </c>
      <c r="D150" s="6" t="str">
        <f t="shared" si="24"/>
        <v>1Trabajo MarketingRedacción</v>
      </c>
      <c r="E150" s="29">
        <v>0.2</v>
      </c>
      <c r="F150" s="27">
        <v>5</v>
      </c>
      <c r="G150" s="23"/>
      <c r="H150" s="5"/>
    </row>
    <row r="151" spans="1:8">
      <c r="A151" s="6" t="s">
        <v>28</v>
      </c>
      <c r="B151" s="6">
        <f>B150</f>
        <v>1</v>
      </c>
      <c r="C151" s="6" t="s">
        <v>6</v>
      </c>
      <c r="D151" s="6" t="str">
        <f t="shared" si="24"/>
        <v>1Trabajo MarketingTotal</v>
      </c>
      <c r="E151" s="29">
        <f>SUM(E146:E150)</f>
        <v>1</v>
      </c>
      <c r="F151" s="27">
        <f>SUMPRODUCT(E146:E150,F146:F150)</f>
        <v>5</v>
      </c>
      <c r="G151" s="23"/>
      <c r="H151" s="5"/>
    </row>
    <row r="152" spans="1:8">
      <c r="A152" s="6" t="s">
        <v>28</v>
      </c>
      <c r="B152" s="6">
        <f>B146+1</f>
        <v>2</v>
      </c>
      <c r="C152" s="6" t="s">
        <v>7</v>
      </c>
      <c r="D152" s="6" t="str">
        <f t="shared" si="24"/>
        <v>2Trabajo MarketingCreatividad</v>
      </c>
      <c r="E152" s="29">
        <v>0.1</v>
      </c>
      <c r="F152" s="27">
        <v>5</v>
      </c>
      <c r="G152" s="23"/>
      <c r="H152" s="5"/>
    </row>
    <row r="153" spans="1:8">
      <c r="A153" s="6" t="s">
        <v>28</v>
      </c>
      <c r="B153" s="6">
        <f t="shared" ref="B153:B181" si="25">B147+1</f>
        <v>2</v>
      </c>
      <c r="C153" s="6" t="s">
        <v>2</v>
      </c>
      <c r="D153" s="6" t="str">
        <f t="shared" si="24"/>
        <v>2Trabajo MarketingPertinencia</v>
      </c>
      <c r="E153" s="29">
        <v>0.05</v>
      </c>
      <c r="F153" s="27">
        <v>5</v>
      </c>
      <c r="G153" s="23"/>
      <c r="H153" s="5"/>
    </row>
    <row r="154" spans="1:8">
      <c r="A154" s="6" t="s">
        <v>28</v>
      </c>
      <c r="B154" s="6">
        <f t="shared" si="25"/>
        <v>2</v>
      </c>
      <c r="C154" s="6" t="s">
        <v>3</v>
      </c>
      <c r="D154" s="6" t="str">
        <f t="shared" si="24"/>
        <v>2Trabajo Marketingcódigo</v>
      </c>
      <c r="E154" s="29">
        <v>0.3</v>
      </c>
      <c r="F154" s="27">
        <v>5</v>
      </c>
      <c r="G154" s="23"/>
      <c r="H154" s="5"/>
    </row>
    <row r="155" spans="1:8">
      <c r="A155" s="6" t="s">
        <v>28</v>
      </c>
      <c r="B155" s="6">
        <f t="shared" si="25"/>
        <v>2</v>
      </c>
      <c r="C155" s="6" t="s">
        <v>4</v>
      </c>
      <c r="D155" s="6" t="str">
        <f t="shared" si="24"/>
        <v>2Trabajo MarketingAnálisis</v>
      </c>
      <c r="E155" s="29">
        <v>0.35</v>
      </c>
      <c r="F155" s="27">
        <v>5</v>
      </c>
      <c r="G155" s="23"/>
      <c r="H155" s="5"/>
    </row>
    <row r="156" spans="1:8">
      <c r="A156" s="6" t="s">
        <v>28</v>
      </c>
      <c r="B156" s="6">
        <f t="shared" si="25"/>
        <v>2</v>
      </c>
      <c r="C156" s="6" t="s">
        <v>5</v>
      </c>
      <c r="D156" s="6" t="str">
        <f t="shared" si="24"/>
        <v>2Trabajo MarketingRedacción</v>
      </c>
      <c r="E156" s="29">
        <v>0.2</v>
      </c>
      <c r="F156" s="27">
        <v>5</v>
      </c>
      <c r="G156" s="23"/>
      <c r="H156" s="5"/>
    </row>
    <row r="157" spans="1:8">
      <c r="A157" s="6" t="s">
        <v>28</v>
      </c>
      <c r="B157" s="6">
        <f t="shared" si="25"/>
        <v>2</v>
      </c>
      <c r="C157" s="6" t="s">
        <v>6</v>
      </c>
      <c r="D157" s="6" t="str">
        <f t="shared" si="24"/>
        <v>2Trabajo MarketingTotal</v>
      </c>
      <c r="E157" s="29">
        <f>SUM(E152:E156)</f>
        <v>1</v>
      </c>
      <c r="F157" s="27">
        <f>SUMPRODUCT(E152:E156,F152:F156)</f>
        <v>5</v>
      </c>
      <c r="G157" s="23"/>
      <c r="H157" s="5"/>
    </row>
    <row r="158" spans="1:8" ht="30">
      <c r="A158" s="6" t="s">
        <v>28</v>
      </c>
      <c r="B158" s="6">
        <f t="shared" si="25"/>
        <v>3</v>
      </c>
      <c r="C158" s="6" t="s">
        <v>7</v>
      </c>
      <c r="D158" s="6" t="str">
        <f t="shared" ref="D158:D223" si="26">B158&amp;A158&amp;C158</f>
        <v>3Trabajo MarketingCreatividad</v>
      </c>
      <c r="E158" s="29">
        <v>0.1</v>
      </c>
      <c r="F158" s="27">
        <v>4.5</v>
      </c>
      <c r="G158" s="23" t="s">
        <v>224</v>
      </c>
      <c r="H158" s="5"/>
    </row>
    <row r="159" spans="1:8">
      <c r="A159" s="6" t="s">
        <v>28</v>
      </c>
      <c r="B159" s="6">
        <f t="shared" si="25"/>
        <v>3</v>
      </c>
      <c r="C159" s="6" t="s">
        <v>2</v>
      </c>
      <c r="D159" s="6" t="str">
        <f t="shared" si="26"/>
        <v>3Trabajo MarketingPertinencia</v>
      </c>
      <c r="E159" s="29">
        <v>0.05</v>
      </c>
      <c r="F159" s="27">
        <v>5</v>
      </c>
      <c r="G159" s="23"/>
      <c r="H159" s="5"/>
    </row>
    <row r="160" spans="1:8" ht="30">
      <c r="A160" s="6" t="s">
        <v>28</v>
      </c>
      <c r="B160" s="6">
        <f t="shared" si="25"/>
        <v>3</v>
      </c>
      <c r="C160" s="6" t="s">
        <v>3</v>
      </c>
      <c r="D160" s="6" t="str">
        <f t="shared" si="26"/>
        <v>3Trabajo Marketingcódigo</v>
      </c>
      <c r="E160" s="29">
        <v>0.3</v>
      </c>
      <c r="F160" s="27">
        <v>4.7</v>
      </c>
      <c r="G160" s="23" t="s">
        <v>226</v>
      </c>
      <c r="H160" s="5"/>
    </row>
    <row r="161" spans="1:8" ht="45">
      <c r="A161" s="6" t="s">
        <v>28</v>
      </c>
      <c r="B161" s="6">
        <f t="shared" si="25"/>
        <v>3</v>
      </c>
      <c r="C161" s="6" t="s">
        <v>4</v>
      </c>
      <c r="D161" s="6" t="str">
        <f t="shared" si="26"/>
        <v>3Trabajo MarketingAnálisis</v>
      </c>
      <c r="E161" s="29">
        <v>0.35</v>
      </c>
      <c r="F161" s="27">
        <v>4.5</v>
      </c>
      <c r="G161" s="23" t="s">
        <v>225</v>
      </c>
      <c r="H161" s="5"/>
    </row>
    <row r="162" spans="1:8" ht="60">
      <c r="A162" s="6" t="s">
        <v>28</v>
      </c>
      <c r="B162" s="6">
        <f t="shared" si="25"/>
        <v>3</v>
      </c>
      <c r="C162" s="6" t="s">
        <v>5</v>
      </c>
      <c r="D162" s="6" t="str">
        <f t="shared" si="26"/>
        <v>3Trabajo MarketingRedacción</v>
      </c>
      <c r="E162" s="29">
        <v>0.2</v>
      </c>
      <c r="F162" s="27">
        <v>4</v>
      </c>
      <c r="G162" s="23" t="s">
        <v>227</v>
      </c>
      <c r="H162" s="5"/>
    </row>
    <row r="163" spans="1:8">
      <c r="A163" s="6" t="s">
        <v>28</v>
      </c>
      <c r="B163" s="6">
        <f t="shared" si="25"/>
        <v>3</v>
      </c>
      <c r="C163" s="6" t="s">
        <v>6</v>
      </c>
      <c r="D163" s="6" t="str">
        <f t="shared" si="26"/>
        <v>3Trabajo MarketingTotal</v>
      </c>
      <c r="E163" s="29">
        <f t="shared" ref="E163" si="27">SUM(E158:E162)</f>
        <v>1</v>
      </c>
      <c r="F163" s="27">
        <f>SUMPRODUCT(E158:E162,F158:F162)</f>
        <v>4.4849999999999994</v>
      </c>
      <c r="G163" s="23"/>
      <c r="H163" s="5"/>
    </row>
    <row r="164" spans="1:8">
      <c r="A164" s="6" t="s">
        <v>28</v>
      </c>
      <c r="B164" s="6">
        <f t="shared" si="25"/>
        <v>4</v>
      </c>
      <c r="C164" s="6" t="s">
        <v>7</v>
      </c>
      <c r="D164" s="6" t="str">
        <f t="shared" si="26"/>
        <v>4Trabajo MarketingCreatividad</v>
      </c>
      <c r="E164" s="29">
        <v>0.1</v>
      </c>
      <c r="F164" s="27">
        <v>5</v>
      </c>
      <c r="G164" s="23"/>
      <c r="H164" s="5"/>
    </row>
    <row r="165" spans="1:8">
      <c r="A165" s="6" t="s">
        <v>28</v>
      </c>
      <c r="B165" s="6">
        <f t="shared" si="25"/>
        <v>4</v>
      </c>
      <c r="C165" s="6" t="s">
        <v>2</v>
      </c>
      <c r="D165" s="6" t="str">
        <f t="shared" si="26"/>
        <v>4Trabajo MarketingPertinencia</v>
      </c>
      <c r="E165" s="29">
        <v>0.05</v>
      </c>
      <c r="F165" s="27">
        <v>5</v>
      </c>
      <c r="G165" s="23"/>
      <c r="H165" s="5"/>
    </row>
    <row r="166" spans="1:8">
      <c r="A166" s="6" t="s">
        <v>28</v>
      </c>
      <c r="B166" s="6">
        <f t="shared" si="25"/>
        <v>4</v>
      </c>
      <c r="C166" s="6" t="s">
        <v>3</v>
      </c>
      <c r="D166" s="6" t="str">
        <f t="shared" si="26"/>
        <v>4Trabajo Marketingcódigo</v>
      </c>
      <c r="E166" s="29">
        <v>0.3</v>
      </c>
      <c r="F166" s="27">
        <v>5</v>
      </c>
      <c r="G166" s="23"/>
      <c r="H166" s="5"/>
    </row>
    <row r="167" spans="1:8">
      <c r="A167" s="6" t="s">
        <v>28</v>
      </c>
      <c r="B167" s="6">
        <f t="shared" si="25"/>
        <v>4</v>
      </c>
      <c r="C167" s="6" t="s">
        <v>4</v>
      </c>
      <c r="D167" s="6" t="str">
        <f t="shared" si="26"/>
        <v>4Trabajo MarketingAnálisis</v>
      </c>
      <c r="E167" s="29">
        <v>0.35</v>
      </c>
      <c r="F167" s="27">
        <v>5</v>
      </c>
      <c r="G167" s="23"/>
      <c r="H167" s="5"/>
    </row>
    <row r="168" spans="1:8">
      <c r="A168" s="6" t="s">
        <v>28</v>
      </c>
      <c r="B168" s="6">
        <f t="shared" si="25"/>
        <v>4</v>
      </c>
      <c r="C168" s="6" t="s">
        <v>5</v>
      </c>
      <c r="D168" s="6" t="str">
        <f t="shared" si="26"/>
        <v>4Trabajo MarketingRedacción</v>
      </c>
      <c r="E168" s="29">
        <v>0.2</v>
      </c>
      <c r="F168" s="27">
        <v>5</v>
      </c>
      <c r="G168" s="23"/>
      <c r="H168" s="5"/>
    </row>
    <row r="169" spans="1:8">
      <c r="A169" s="6" t="s">
        <v>28</v>
      </c>
      <c r="B169" s="6">
        <f t="shared" si="25"/>
        <v>4</v>
      </c>
      <c r="C169" s="6" t="s">
        <v>6</v>
      </c>
      <c r="D169" s="6" t="str">
        <f t="shared" si="26"/>
        <v>4Trabajo MarketingTotal</v>
      </c>
      <c r="E169" s="29">
        <f t="shared" ref="E169" si="28">SUM(E164:E168)</f>
        <v>1</v>
      </c>
      <c r="F169" s="27">
        <f>SUMPRODUCT(E164:E168,F164:F168)</f>
        <v>5</v>
      </c>
      <c r="G169" s="23"/>
      <c r="H169" s="5"/>
    </row>
    <row r="170" spans="1:8">
      <c r="A170" s="6" t="s">
        <v>28</v>
      </c>
      <c r="B170" s="6">
        <f t="shared" si="25"/>
        <v>5</v>
      </c>
      <c r="C170" s="6" t="s">
        <v>7</v>
      </c>
      <c r="D170" s="6" t="str">
        <f t="shared" si="26"/>
        <v>5Trabajo MarketingCreatividad</v>
      </c>
      <c r="E170" s="29">
        <v>0.1</v>
      </c>
      <c r="F170" s="27">
        <v>5</v>
      </c>
      <c r="G170" s="65" t="s">
        <v>228</v>
      </c>
      <c r="H170" s="5"/>
    </row>
    <row r="171" spans="1:8">
      <c r="A171" s="6" t="s">
        <v>28</v>
      </c>
      <c r="B171" s="6">
        <f t="shared" si="25"/>
        <v>5</v>
      </c>
      <c r="C171" s="6" t="s">
        <v>2</v>
      </c>
      <c r="D171" s="6" t="str">
        <f t="shared" si="26"/>
        <v>5Trabajo MarketingPertinencia</v>
      </c>
      <c r="E171" s="29">
        <v>0.05</v>
      </c>
      <c r="F171" s="27">
        <v>5</v>
      </c>
      <c r="G171" s="66"/>
      <c r="H171" s="5"/>
    </row>
    <row r="172" spans="1:8">
      <c r="A172" s="6" t="s">
        <v>28</v>
      </c>
      <c r="B172" s="6">
        <f t="shared" si="25"/>
        <v>5</v>
      </c>
      <c r="C172" s="6" t="s">
        <v>3</v>
      </c>
      <c r="D172" s="6" t="str">
        <f t="shared" si="26"/>
        <v>5Trabajo Marketingcódigo</v>
      </c>
      <c r="E172" s="29">
        <v>0.3</v>
      </c>
      <c r="F172" s="27">
        <v>5</v>
      </c>
      <c r="G172" s="23"/>
      <c r="H172" s="5"/>
    </row>
    <row r="173" spans="1:8" ht="60">
      <c r="A173" s="6" t="s">
        <v>28</v>
      </c>
      <c r="B173" s="6">
        <f t="shared" si="25"/>
        <v>5</v>
      </c>
      <c r="C173" s="6" t="s">
        <v>4</v>
      </c>
      <c r="D173" s="6" t="str">
        <f t="shared" si="26"/>
        <v>5Trabajo MarketingAnálisis</v>
      </c>
      <c r="E173" s="29">
        <v>0.35</v>
      </c>
      <c r="F173" s="27">
        <v>3.5</v>
      </c>
      <c r="G173" s="23" t="s">
        <v>229</v>
      </c>
      <c r="H173" s="5"/>
    </row>
    <row r="174" spans="1:8" ht="30">
      <c r="A174" s="6" t="s">
        <v>28</v>
      </c>
      <c r="B174" s="6">
        <f t="shared" si="25"/>
        <v>5</v>
      </c>
      <c r="C174" s="6" t="s">
        <v>5</v>
      </c>
      <c r="D174" s="6" t="str">
        <f t="shared" si="26"/>
        <v>5Trabajo MarketingRedacción</v>
      </c>
      <c r="E174" s="29">
        <v>0.2</v>
      </c>
      <c r="F174" s="27">
        <v>4</v>
      </c>
      <c r="G174" s="23" t="s">
        <v>230</v>
      </c>
      <c r="H174" s="5"/>
    </row>
    <row r="175" spans="1:8">
      <c r="A175" s="6" t="s">
        <v>28</v>
      </c>
      <c r="B175" s="6">
        <f t="shared" si="25"/>
        <v>5</v>
      </c>
      <c r="C175" s="6" t="s">
        <v>6</v>
      </c>
      <c r="D175" s="6" t="str">
        <f t="shared" si="26"/>
        <v>5Trabajo MarketingTotal</v>
      </c>
      <c r="E175" s="29">
        <f t="shared" ref="E175:E187" si="29">SUM(E170:E174)</f>
        <v>1</v>
      </c>
      <c r="F175" s="27">
        <f>SUMPRODUCT(E170:E174,F170:F174)</f>
        <v>4.2749999999999995</v>
      </c>
      <c r="G175" s="23"/>
      <c r="H175" s="5"/>
    </row>
    <row r="176" spans="1:8" hidden="1">
      <c r="A176" s="6" t="s">
        <v>28</v>
      </c>
      <c r="B176" s="6">
        <f t="shared" si="25"/>
        <v>6</v>
      </c>
      <c r="C176" s="6" t="s">
        <v>7</v>
      </c>
      <c r="D176" s="6" t="str">
        <f t="shared" si="26"/>
        <v>6Trabajo MarketingCreatividad</v>
      </c>
      <c r="E176" s="29">
        <v>0.1</v>
      </c>
      <c r="F176" s="27"/>
      <c r="G176" s="23"/>
      <c r="H176" s="5"/>
    </row>
    <row r="177" spans="1:8" hidden="1">
      <c r="A177" s="6" t="s">
        <v>28</v>
      </c>
      <c r="B177" s="6">
        <f t="shared" si="25"/>
        <v>6</v>
      </c>
      <c r="C177" s="6" t="s">
        <v>2</v>
      </c>
      <c r="D177" s="6" t="str">
        <f t="shared" si="26"/>
        <v>6Trabajo MarketingPertinencia</v>
      </c>
      <c r="E177" s="29">
        <v>0.05</v>
      </c>
      <c r="F177" s="27"/>
      <c r="G177" s="23"/>
      <c r="H177" s="5"/>
    </row>
    <row r="178" spans="1:8" hidden="1">
      <c r="A178" s="6" t="s">
        <v>28</v>
      </c>
      <c r="B178" s="6">
        <f t="shared" si="25"/>
        <v>6</v>
      </c>
      <c r="C178" s="6" t="s">
        <v>3</v>
      </c>
      <c r="D178" s="6" t="str">
        <f t="shared" si="26"/>
        <v>6Trabajo Marketingcódigo</v>
      </c>
      <c r="E178" s="29">
        <v>0.3</v>
      </c>
      <c r="F178" s="27"/>
      <c r="G178" s="23"/>
      <c r="H178" s="5"/>
    </row>
    <row r="179" spans="1:8" hidden="1">
      <c r="A179" s="6" t="s">
        <v>28</v>
      </c>
      <c r="B179" s="6">
        <f t="shared" si="25"/>
        <v>6</v>
      </c>
      <c r="C179" s="6" t="s">
        <v>4</v>
      </c>
      <c r="D179" s="6" t="str">
        <f t="shared" si="26"/>
        <v>6Trabajo MarketingAnálisis</v>
      </c>
      <c r="E179" s="29">
        <v>0.35</v>
      </c>
      <c r="F179" s="27"/>
      <c r="G179" s="23"/>
      <c r="H179" s="5"/>
    </row>
    <row r="180" spans="1:8" hidden="1">
      <c r="A180" s="6" t="s">
        <v>28</v>
      </c>
      <c r="B180" s="6">
        <f t="shared" si="25"/>
        <v>6</v>
      </c>
      <c r="C180" s="6" t="s">
        <v>5</v>
      </c>
      <c r="D180" s="6" t="str">
        <f t="shared" si="26"/>
        <v>6Trabajo MarketingRedacción</v>
      </c>
      <c r="E180" s="29">
        <v>0.2</v>
      </c>
      <c r="F180" s="27"/>
      <c r="G180" s="23"/>
      <c r="H180" s="5"/>
    </row>
    <row r="181" spans="1:8" hidden="1">
      <c r="A181" s="6" t="s">
        <v>28</v>
      </c>
      <c r="B181" s="6">
        <f t="shared" si="25"/>
        <v>6</v>
      </c>
      <c r="C181" s="6" t="s">
        <v>6</v>
      </c>
      <c r="D181" s="6" t="str">
        <f t="shared" si="26"/>
        <v>6Trabajo MarketingTotal</v>
      </c>
      <c r="E181" s="29">
        <f t="shared" si="29"/>
        <v>1</v>
      </c>
      <c r="F181" s="27"/>
      <c r="G181" s="23"/>
      <c r="H181" s="5"/>
    </row>
    <row r="182" spans="1:8">
      <c r="A182" s="6" t="s">
        <v>28</v>
      </c>
      <c r="B182" s="6">
        <f t="shared" ref="B182:B193" si="30">B176+1</f>
        <v>7</v>
      </c>
      <c r="C182" s="6" t="s">
        <v>7</v>
      </c>
      <c r="D182" s="6" t="str">
        <f t="shared" si="26"/>
        <v>7Trabajo MarketingCreatividad</v>
      </c>
      <c r="E182" s="29">
        <v>0.1</v>
      </c>
      <c r="F182" s="27">
        <v>4</v>
      </c>
      <c r="G182" s="23" t="s">
        <v>231</v>
      </c>
      <c r="H182" s="61"/>
    </row>
    <row r="183" spans="1:8">
      <c r="A183" s="6" t="s">
        <v>28</v>
      </c>
      <c r="B183" s="6">
        <f t="shared" si="30"/>
        <v>7</v>
      </c>
      <c r="C183" s="6" t="s">
        <v>2</v>
      </c>
      <c r="D183" s="6" t="str">
        <f t="shared" si="26"/>
        <v>7Trabajo MarketingPertinencia</v>
      </c>
      <c r="E183" s="29">
        <v>0.05</v>
      </c>
      <c r="F183" s="27">
        <v>5</v>
      </c>
      <c r="G183" s="23"/>
      <c r="H183" s="62"/>
    </row>
    <row r="184" spans="1:8" ht="75">
      <c r="A184" s="6" t="s">
        <v>28</v>
      </c>
      <c r="B184" s="6">
        <f t="shared" si="30"/>
        <v>7</v>
      </c>
      <c r="C184" s="6" t="s">
        <v>3</v>
      </c>
      <c r="D184" s="6" t="str">
        <f t="shared" si="26"/>
        <v>7Trabajo Marketingcódigo</v>
      </c>
      <c r="E184" s="29">
        <v>0.3</v>
      </c>
      <c r="F184" s="27">
        <v>3.9</v>
      </c>
      <c r="G184" s="23" t="s">
        <v>233</v>
      </c>
      <c r="H184" s="62"/>
    </row>
    <row r="185" spans="1:8" ht="90">
      <c r="A185" s="6" t="s">
        <v>28</v>
      </c>
      <c r="B185" s="6">
        <f t="shared" si="30"/>
        <v>7</v>
      </c>
      <c r="C185" s="6" t="s">
        <v>4</v>
      </c>
      <c r="D185" s="6" t="str">
        <f t="shared" si="26"/>
        <v>7Trabajo MarketingAnálisis</v>
      </c>
      <c r="E185" s="29">
        <v>0.35</v>
      </c>
      <c r="F185" s="27">
        <v>4</v>
      </c>
      <c r="G185" s="23" t="s">
        <v>232</v>
      </c>
      <c r="H185" s="62"/>
    </row>
    <row r="186" spans="1:8">
      <c r="A186" s="6" t="s">
        <v>28</v>
      </c>
      <c r="B186" s="6">
        <f t="shared" si="30"/>
        <v>7</v>
      </c>
      <c r="C186" s="6" t="s">
        <v>5</v>
      </c>
      <c r="D186" s="6" t="str">
        <f t="shared" si="26"/>
        <v>7Trabajo MarketingRedacción</v>
      </c>
      <c r="E186" s="29">
        <v>0.2</v>
      </c>
      <c r="F186" s="27">
        <v>5</v>
      </c>
      <c r="G186" s="23"/>
      <c r="H186" s="62"/>
    </row>
    <row r="187" spans="1:8">
      <c r="A187" s="6" t="s">
        <v>28</v>
      </c>
      <c r="B187" s="6">
        <f t="shared" si="30"/>
        <v>7</v>
      </c>
      <c r="C187" s="6" t="s">
        <v>6</v>
      </c>
      <c r="D187" s="6" t="str">
        <f t="shared" si="26"/>
        <v>7Trabajo MarketingTotal</v>
      </c>
      <c r="E187" s="29">
        <f t="shared" si="29"/>
        <v>1</v>
      </c>
      <c r="F187" s="27">
        <f>SUMPRODUCT(E182:E186,F182:F186)</f>
        <v>4.22</v>
      </c>
      <c r="H187" s="63"/>
    </row>
    <row r="188" spans="1:8" ht="60">
      <c r="A188" s="6" t="s">
        <v>28</v>
      </c>
      <c r="B188" s="6">
        <f t="shared" si="30"/>
        <v>8</v>
      </c>
      <c r="C188" s="6" t="s">
        <v>7</v>
      </c>
      <c r="D188" s="6" t="str">
        <f t="shared" ref="D188:D193" si="31">B188&amp;A188&amp;C188</f>
        <v>8Trabajo MarketingCreatividad</v>
      </c>
      <c r="E188" s="29">
        <v>0.1</v>
      </c>
      <c r="F188" s="27">
        <v>2.5</v>
      </c>
      <c r="G188" s="23" t="s">
        <v>235</v>
      </c>
      <c r="H188" s="65"/>
    </row>
    <row r="189" spans="1:8">
      <c r="A189" s="6" t="s">
        <v>28</v>
      </c>
      <c r="B189" s="6">
        <f t="shared" si="30"/>
        <v>8</v>
      </c>
      <c r="C189" s="6" t="s">
        <v>2</v>
      </c>
      <c r="D189" s="6" t="str">
        <f t="shared" si="31"/>
        <v>8Trabajo MarketingPertinencia</v>
      </c>
      <c r="E189" s="29">
        <v>0.05</v>
      </c>
      <c r="F189" s="27">
        <v>3</v>
      </c>
      <c r="G189" s="23" t="s">
        <v>234</v>
      </c>
      <c r="H189" s="70"/>
    </row>
    <row r="190" spans="1:8" ht="75">
      <c r="A190" s="6" t="s">
        <v>28</v>
      </c>
      <c r="B190" s="6">
        <f t="shared" si="30"/>
        <v>8</v>
      </c>
      <c r="C190" s="6" t="s">
        <v>3</v>
      </c>
      <c r="D190" s="6" t="str">
        <f t="shared" si="31"/>
        <v>8Trabajo Marketingcódigo</v>
      </c>
      <c r="E190" s="29">
        <v>0.3</v>
      </c>
      <c r="F190" s="27">
        <v>2.5</v>
      </c>
      <c r="G190" s="23" t="s">
        <v>237</v>
      </c>
      <c r="H190" s="70"/>
    </row>
    <row r="191" spans="1:8" ht="90">
      <c r="A191" s="6" t="s">
        <v>28</v>
      </c>
      <c r="B191" s="6">
        <f t="shared" si="30"/>
        <v>8</v>
      </c>
      <c r="C191" s="6" t="s">
        <v>4</v>
      </c>
      <c r="D191" s="6" t="str">
        <f t="shared" si="31"/>
        <v>8Trabajo MarketingAnálisis</v>
      </c>
      <c r="E191" s="29">
        <v>0.35</v>
      </c>
      <c r="F191" s="27">
        <v>2.5</v>
      </c>
      <c r="G191" s="23" t="s">
        <v>236</v>
      </c>
      <c r="H191" s="70"/>
    </row>
    <row r="192" spans="1:8" ht="30">
      <c r="A192" s="6" t="s">
        <v>28</v>
      </c>
      <c r="B192" s="6">
        <f t="shared" si="30"/>
        <v>8</v>
      </c>
      <c r="C192" s="6" t="s">
        <v>5</v>
      </c>
      <c r="D192" s="6" t="str">
        <f t="shared" si="31"/>
        <v>8Trabajo MarketingRedacción</v>
      </c>
      <c r="E192" s="29">
        <v>0.2</v>
      </c>
      <c r="F192" s="27">
        <v>4</v>
      </c>
      <c r="G192" s="23" t="s">
        <v>238</v>
      </c>
      <c r="H192" s="70"/>
    </row>
    <row r="193" spans="1:8">
      <c r="A193" s="6" t="s">
        <v>28</v>
      </c>
      <c r="B193" s="6">
        <f t="shared" si="30"/>
        <v>8</v>
      </c>
      <c r="C193" s="6" t="s">
        <v>6</v>
      </c>
      <c r="D193" s="6" t="str">
        <f t="shared" si="31"/>
        <v>8Trabajo MarketingTotal</v>
      </c>
      <c r="E193" s="29">
        <f t="shared" ref="E193" si="32">SUM(E188:E192)</f>
        <v>1</v>
      </c>
      <c r="F193" s="27">
        <f>SUMPRODUCT(E188:E192,F188:F192)</f>
        <v>2.8250000000000002</v>
      </c>
      <c r="G193" s="23"/>
      <c r="H193" s="66"/>
    </row>
    <row r="194" spans="1:8">
      <c r="A194" s="10" t="s">
        <v>266</v>
      </c>
      <c r="B194" s="6">
        <v>1</v>
      </c>
      <c r="C194" s="6" t="s">
        <v>20</v>
      </c>
      <c r="D194" s="6" t="str">
        <f t="shared" si="26"/>
        <v>14. Presentación avances saludClaridad</v>
      </c>
      <c r="E194" s="29">
        <v>0.2</v>
      </c>
      <c r="F194" s="27">
        <v>5</v>
      </c>
      <c r="G194" s="23"/>
      <c r="H194" s="65"/>
    </row>
    <row r="195" spans="1:8">
      <c r="A195" s="10" t="s">
        <v>266</v>
      </c>
      <c r="B195" s="6">
        <v>1</v>
      </c>
      <c r="C195" s="6" t="s">
        <v>21</v>
      </c>
      <c r="D195" s="6" t="str">
        <f t="shared" si="26"/>
        <v>14. Presentación avances saludAvance</v>
      </c>
      <c r="E195" s="29">
        <v>0.2</v>
      </c>
      <c r="F195" s="27">
        <v>5</v>
      </c>
      <c r="G195" s="23"/>
      <c r="H195" s="70"/>
    </row>
    <row r="196" spans="1:8" ht="60">
      <c r="A196" s="10" t="s">
        <v>266</v>
      </c>
      <c r="B196" s="6">
        <v>1</v>
      </c>
      <c r="C196" s="6" t="s">
        <v>22</v>
      </c>
      <c r="D196" s="6" t="str">
        <f t="shared" si="26"/>
        <v>14. Presentación avances saludComprensión</v>
      </c>
      <c r="E196" s="29">
        <v>0.2</v>
      </c>
      <c r="F196" s="27">
        <v>4.5</v>
      </c>
      <c r="G196" s="23" t="s">
        <v>249</v>
      </c>
      <c r="H196" s="70"/>
    </row>
    <row r="197" spans="1:8">
      <c r="A197" s="10" t="s">
        <v>266</v>
      </c>
      <c r="B197" s="6">
        <v>1</v>
      </c>
      <c r="C197" s="6" t="s">
        <v>23</v>
      </c>
      <c r="D197" s="6" t="str">
        <f t="shared" si="26"/>
        <v>14. Presentación avances saludInnovación</v>
      </c>
      <c r="E197" s="29">
        <v>0.2</v>
      </c>
      <c r="F197" s="27">
        <v>5</v>
      </c>
      <c r="G197" s="23" t="s">
        <v>241</v>
      </c>
      <c r="H197" s="70"/>
    </row>
    <row r="198" spans="1:8" ht="45">
      <c r="A198" s="10" t="s">
        <v>266</v>
      </c>
      <c r="B198" s="6">
        <v>1</v>
      </c>
      <c r="C198" s="6" t="s">
        <v>24</v>
      </c>
      <c r="D198" s="6" t="str">
        <f t="shared" si="26"/>
        <v>14. Presentación avances saludErrores</v>
      </c>
      <c r="E198" s="29">
        <v>0.2</v>
      </c>
      <c r="F198" s="27">
        <v>4.5</v>
      </c>
      <c r="G198" s="9" t="s">
        <v>250</v>
      </c>
      <c r="H198" s="70"/>
    </row>
    <row r="199" spans="1:8">
      <c r="A199" s="10" t="s">
        <v>266</v>
      </c>
      <c r="B199" s="6">
        <v>1</v>
      </c>
      <c r="C199" s="6" t="s">
        <v>6</v>
      </c>
      <c r="D199" s="6" t="str">
        <f t="shared" si="26"/>
        <v>14. Presentación avances saludTotal</v>
      </c>
      <c r="E199" s="29">
        <f t="shared" ref="E199" si="33">SUM(E194:E198)</f>
        <v>1</v>
      </c>
      <c r="F199" s="27">
        <f>SUMPRODUCT(E194:E198,F194:F198)</f>
        <v>4.8</v>
      </c>
      <c r="G199" s="23"/>
      <c r="H199" s="70"/>
    </row>
    <row r="200" spans="1:8">
      <c r="A200" s="10" t="s">
        <v>266</v>
      </c>
      <c r="B200" s="6">
        <f>B194+1</f>
        <v>2</v>
      </c>
      <c r="C200" s="6" t="s">
        <v>20</v>
      </c>
      <c r="D200" s="6" t="str">
        <f t="shared" si="26"/>
        <v>24. Presentación avances saludClaridad</v>
      </c>
      <c r="E200" s="29">
        <v>0.2</v>
      </c>
      <c r="F200" s="27">
        <v>5</v>
      </c>
      <c r="G200" s="23"/>
      <c r="H200" s="70"/>
    </row>
    <row r="201" spans="1:8">
      <c r="A201" s="10" t="s">
        <v>266</v>
      </c>
      <c r="B201" s="6">
        <f t="shared" ref="B201:B240" si="34">B195+1</f>
        <v>2</v>
      </c>
      <c r="C201" s="6" t="s">
        <v>21</v>
      </c>
      <c r="D201" s="6" t="str">
        <f t="shared" si="26"/>
        <v>24. Presentación avances saludAvance</v>
      </c>
      <c r="E201" s="29">
        <v>0.2</v>
      </c>
      <c r="F201" s="27">
        <v>5</v>
      </c>
      <c r="G201" s="23"/>
      <c r="H201" s="70"/>
    </row>
    <row r="202" spans="1:8" ht="60">
      <c r="A202" s="10" t="s">
        <v>266</v>
      </c>
      <c r="B202" s="6">
        <f t="shared" si="34"/>
        <v>2</v>
      </c>
      <c r="C202" s="6" t="s">
        <v>22</v>
      </c>
      <c r="D202" s="6" t="str">
        <f t="shared" si="26"/>
        <v>24. Presentación avances saludComprensión</v>
      </c>
      <c r="E202" s="29">
        <v>0.2</v>
      </c>
      <c r="F202" s="27">
        <v>5</v>
      </c>
      <c r="G202" s="23" t="s">
        <v>251</v>
      </c>
      <c r="H202" s="70"/>
    </row>
    <row r="203" spans="1:8">
      <c r="A203" s="10" t="s">
        <v>266</v>
      </c>
      <c r="B203" s="6">
        <f t="shared" si="34"/>
        <v>2</v>
      </c>
      <c r="C203" s="6" t="s">
        <v>23</v>
      </c>
      <c r="D203" s="6" t="str">
        <f t="shared" si="26"/>
        <v>24. Presentación avances saludInnovación</v>
      </c>
      <c r="E203" s="29">
        <v>0.2</v>
      </c>
      <c r="F203" s="27">
        <v>5</v>
      </c>
      <c r="G203" s="23"/>
      <c r="H203" s="70"/>
    </row>
    <row r="204" spans="1:8">
      <c r="A204" s="10" t="s">
        <v>266</v>
      </c>
      <c r="B204" s="6">
        <f t="shared" si="34"/>
        <v>2</v>
      </c>
      <c r="C204" s="6" t="s">
        <v>24</v>
      </c>
      <c r="D204" s="6" t="str">
        <f t="shared" si="26"/>
        <v>24. Presentación avances saludErrores</v>
      </c>
      <c r="E204" s="29">
        <v>0.2</v>
      </c>
      <c r="F204" s="27">
        <v>5</v>
      </c>
      <c r="G204" s="23"/>
      <c r="H204" s="70"/>
    </row>
    <row r="205" spans="1:8">
      <c r="A205" s="10" t="s">
        <v>266</v>
      </c>
      <c r="B205" s="6">
        <f t="shared" si="34"/>
        <v>2</v>
      </c>
      <c r="C205" s="6" t="s">
        <v>6</v>
      </c>
      <c r="D205" s="6" t="str">
        <f t="shared" si="26"/>
        <v>24. Presentación avances saludTotal</v>
      </c>
      <c r="E205" s="29">
        <f t="shared" ref="E205:E229" si="35">SUM(E200:E204)</f>
        <v>1</v>
      </c>
      <c r="F205" s="27">
        <f>SUMPRODUCT(E200:E204,F200:F204)</f>
        <v>5</v>
      </c>
      <c r="G205" s="23"/>
      <c r="H205" s="66"/>
    </row>
    <row r="206" spans="1:8" ht="45">
      <c r="A206" s="10" t="s">
        <v>266</v>
      </c>
      <c r="B206" s="6">
        <f t="shared" si="34"/>
        <v>3</v>
      </c>
      <c r="C206" s="6" t="s">
        <v>20</v>
      </c>
      <c r="D206" s="6" t="str">
        <f t="shared" si="26"/>
        <v>34. Presentación avances saludClaridad</v>
      </c>
      <c r="E206" s="29">
        <v>0.2</v>
      </c>
      <c r="F206" s="27">
        <v>3</v>
      </c>
      <c r="G206" s="23" t="s">
        <v>240</v>
      </c>
      <c r="H206" s="65"/>
    </row>
    <row r="207" spans="1:8">
      <c r="A207" s="10" t="s">
        <v>266</v>
      </c>
      <c r="B207" s="6">
        <f t="shared" si="34"/>
        <v>3</v>
      </c>
      <c r="C207" s="6" t="s">
        <v>21</v>
      </c>
      <c r="D207" s="6" t="str">
        <f t="shared" si="26"/>
        <v>34. Presentación avances saludAvance</v>
      </c>
      <c r="E207" s="29">
        <v>0.2</v>
      </c>
      <c r="F207" s="27">
        <v>5</v>
      </c>
      <c r="G207" s="23"/>
      <c r="H207" s="70"/>
    </row>
    <row r="208" spans="1:8" ht="120">
      <c r="A208" s="10" t="s">
        <v>266</v>
      </c>
      <c r="B208" s="6">
        <f t="shared" si="34"/>
        <v>3</v>
      </c>
      <c r="C208" s="6" t="s">
        <v>22</v>
      </c>
      <c r="D208" s="6" t="str">
        <f t="shared" si="26"/>
        <v>34. Presentación avances saludComprensión</v>
      </c>
      <c r="E208" s="29">
        <v>0.2</v>
      </c>
      <c r="F208" s="27">
        <v>4</v>
      </c>
      <c r="G208" s="23" t="s">
        <v>252</v>
      </c>
      <c r="H208" s="70"/>
    </row>
    <row r="209" spans="1:8" ht="30">
      <c r="A209" s="10" t="s">
        <v>266</v>
      </c>
      <c r="B209" s="6">
        <f t="shared" si="34"/>
        <v>3</v>
      </c>
      <c r="C209" s="6" t="s">
        <v>23</v>
      </c>
      <c r="D209" s="6" t="str">
        <f t="shared" si="26"/>
        <v>34. Presentación avances saludInnovación</v>
      </c>
      <c r="E209" s="29">
        <v>0.2</v>
      </c>
      <c r="F209" s="27">
        <v>4</v>
      </c>
      <c r="G209" s="23" t="s">
        <v>239</v>
      </c>
      <c r="H209" s="70"/>
    </row>
    <row r="210" spans="1:8">
      <c r="A210" s="10" t="s">
        <v>266</v>
      </c>
      <c r="B210" s="6">
        <f t="shared" si="34"/>
        <v>3</v>
      </c>
      <c r="C210" s="6" t="s">
        <v>24</v>
      </c>
      <c r="D210" s="6" t="str">
        <f t="shared" si="26"/>
        <v>34. Presentación avances saludErrores</v>
      </c>
      <c r="E210" s="29">
        <v>0.2</v>
      </c>
      <c r="F210" s="27">
        <v>5</v>
      </c>
      <c r="G210" s="23"/>
      <c r="H210" s="70"/>
    </row>
    <row r="211" spans="1:8">
      <c r="A211" s="10" t="s">
        <v>266</v>
      </c>
      <c r="B211" s="6">
        <f t="shared" si="34"/>
        <v>3</v>
      </c>
      <c r="C211" s="6" t="s">
        <v>6</v>
      </c>
      <c r="D211" s="6" t="str">
        <f t="shared" si="26"/>
        <v>34. Presentación avances saludTotal</v>
      </c>
      <c r="E211" s="29">
        <f t="shared" si="35"/>
        <v>1</v>
      </c>
      <c r="F211" s="27">
        <f>SUMPRODUCT(E206:E210,F206:F210)</f>
        <v>4.2</v>
      </c>
      <c r="G211" s="23"/>
      <c r="H211" s="66"/>
    </row>
    <row r="212" spans="1:8">
      <c r="A212" s="10" t="s">
        <v>266</v>
      </c>
      <c r="B212" s="6">
        <f t="shared" si="34"/>
        <v>4</v>
      </c>
      <c r="C212" s="6" t="s">
        <v>20</v>
      </c>
      <c r="D212" s="6" t="str">
        <f t="shared" si="26"/>
        <v>44. Presentación avances saludClaridad</v>
      </c>
      <c r="E212" s="29">
        <v>0.2</v>
      </c>
      <c r="F212" s="27">
        <v>4.5</v>
      </c>
      <c r="G212" s="23" t="s">
        <v>242</v>
      </c>
      <c r="H212" s="58"/>
    </row>
    <row r="213" spans="1:8">
      <c r="A213" s="10" t="s">
        <v>266</v>
      </c>
      <c r="B213" s="6">
        <f t="shared" si="34"/>
        <v>4</v>
      </c>
      <c r="C213" s="6" t="s">
        <v>21</v>
      </c>
      <c r="D213" s="6" t="str">
        <f t="shared" si="26"/>
        <v>44. Presentación avances saludAvance</v>
      </c>
      <c r="E213" s="29">
        <v>0.2</v>
      </c>
      <c r="F213" s="27">
        <v>4</v>
      </c>
      <c r="G213" s="23" t="s">
        <v>253</v>
      </c>
      <c r="H213" s="69"/>
    </row>
    <row r="214" spans="1:8" ht="105">
      <c r="A214" s="10" t="s">
        <v>266</v>
      </c>
      <c r="B214" s="6">
        <f t="shared" si="34"/>
        <v>4</v>
      </c>
      <c r="C214" s="6" t="s">
        <v>22</v>
      </c>
      <c r="D214" s="6" t="str">
        <f t="shared" si="26"/>
        <v>44. Presentación avances saludComprensión</v>
      </c>
      <c r="E214" s="29">
        <v>0.2</v>
      </c>
      <c r="F214" s="27">
        <v>4</v>
      </c>
      <c r="G214" s="23" t="s">
        <v>255</v>
      </c>
      <c r="H214" s="69"/>
    </row>
    <row r="215" spans="1:8">
      <c r="A215" s="10" t="s">
        <v>266</v>
      </c>
      <c r="B215" s="6">
        <f>B209+1</f>
        <v>4</v>
      </c>
      <c r="C215" s="6" t="s">
        <v>23</v>
      </c>
      <c r="D215" s="6" t="str">
        <f t="shared" si="26"/>
        <v>44. Presentación avances saludInnovación</v>
      </c>
      <c r="E215" s="29">
        <v>0.2</v>
      </c>
      <c r="F215" s="27">
        <v>4.5</v>
      </c>
      <c r="G215" s="23" t="s">
        <v>254</v>
      </c>
      <c r="H215" s="69"/>
    </row>
    <row r="216" spans="1:8">
      <c r="A216" s="10" t="s">
        <v>266</v>
      </c>
      <c r="B216" s="6">
        <f t="shared" si="34"/>
        <v>4</v>
      </c>
      <c r="C216" s="6" t="s">
        <v>24</v>
      </c>
      <c r="D216" s="6" t="str">
        <f t="shared" si="26"/>
        <v>44. Presentación avances saludErrores</v>
      </c>
      <c r="E216" s="29">
        <v>0.2</v>
      </c>
      <c r="F216" s="27">
        <v>5</v>
      </c>
      <c r="G216" s="23"/>
      <c r="H216" s="69"/>
    </row>
    <row r="217" spans="1:8">
      <c r="A217" s="10" t="s">
        <v>266</v>
      </c>
      <c r="B217" s="6">
        <f>B211+1</f>
        <v>4</v>
      </c>
      <c r="C217" s="6" t="s">
        <v>6</v>
      </c>
      <c r="D217" s="6" t="str">
        <f t="shared" si="26"/>
        <v>44. Presentación avances saludTotal</v>
      </c>
      <c r="E217" s="29">
        <f t="shared" si="35"/>
        <v>1</v>
      </c>
      <c r="F217" s="27">
        <f>SUMPRODUCT(E212:E216,F212:F216)</f>
        <v>4.4000000000000004</v>
      </c>
      <c r="G217" s="23"/>
      <c r="H217" s="69"/>
    </row>
    <row r="218" spans="1:8">
      <c r="A218" s="10" t="s">
        <v>266</v>
      </c>
      <c r="B218" s="6">
        <f t="shared" si="34"/>
        <v>5</v>
      </c>
      <c r="C218" s="6" t="s">
        <v>20</v>
      </c>
      <c r="D218" s="6" t="str">
        <f t="shared" si="26"/>
        <v>54. Presentación avances saludClaridad</v>
      </c>
      <c r="E218" s="29">
        <v>0.2</v>
      </c>
      <c r="F218" s="56">
        <v>5</v>
      </c>
      <c r="G218" s="55"/>
      <c r="H218" s="68"/>
    </row>
    <row r="219" spans="1:8">
      <c r="A219" s="10" t="s">
        <v>266</v>
      </c>
      <c r="B219" s="6">
        <f t="shared" si="34"/>
        <v>5</v>
      </c>
      <c r="C219" s="6" t="s">
        <v>21</v>
      </c>
      <c r="D219" s="6" t="str">
        <f t="shared" si="26"/>
        <v>54. Presentación avances saludAvance</v>
      </c>
      <c r="E219" s="29">
        <v>0.2</v>
      </c>
      <c r="F219" s="56">
        <v>4</v>
      </c>
      <c r="G219" s="55" t="s">
        <v>246</v>
      </c>
      <c r="H219" s="68"/>
    </row>
    <row r="220" spans="1:8" ht="90">
      <c r="A220" s="10" t="s">
        <v>266</v>
      </c>
      <c r="B220" s="6">
        <f t="shared" si="34"/>
        <v>5</v>
      </c>
      <c r="C220" s="6" t="s">
        <v>22</v>
      </c>
      <c r="D220" s="6" t="str">
        <f t="shared" si="26"/>
        <v>54. Presentación avances saludComprensión</v>
      </c>
      <c r="E220" s="29">
        <v>0.2</v>
      </c>
      <c r="F220" s="56">
        <v>4</v>
      </c>
      <c r="G220" s="55" t="s">
        <v>256</v>
      </c>
      <c r="H220" s="68"/>
    </row>
    <row r="221" spans="1:8">
      <c r="A221" s="10" t="s">
        <v>266</v>
      </c>
      <c r="B221" s="6">
        <f>B215+1</f>
        <v>5</v>
      </c>
      <c r="C221" s="6" t="s">
        <v>23</v>
      </c>
      <c r="D221" s="6" t="str">
        <f t="shared" si="26"/>
        <v>54. Presentación avances saludInnovación</v>
      </c>
      <c r="E221" s="29">
        <v>0.2</v>
      </c>
      <c r="F221" s="56">
        <v>5</v>
      </c>
      <c r="G221" s="55" t="s">
        <v>244</v>
      </c>
      <c r="H221" s="68"/>
    </row>
    <row r="222" spans="1:8" ht="45">
      <c r="A222" s="10" t="s">
        <v>266</v>
      </c>
      <c r="B222" s="6">
        <f t="shared" si="34"/>
        <v>5</v>
      </c>
      <c r="C222" s="6" t="s">
        <v>24</v>
      </c>
      <c r="D222" s="6" t="str">
        <f t="shared" si="26"/>
        <v>54. Presentación avances saludErrores</v>
      </c>
      <c r="E222" s="29">
        <v>0.2</v>
      </c>
      <c r="F222" s="56">
        <v>4</v>
      </c>
      <c r="G222" s="55" t="s">
        <v>257</v>
      </c>
      <c r="H222" s="68"/>
    </row>
    <row r="223" spans="1:8">
      <c r="A223" s="10" t="s">
        <v>266</v>
      </c>
      <c r="B223" s="6">
        <f>B217+1</f>
        <v>5</v>
      </c>
      <c r="C223" s="6" t="s">
        <v>6</v>
      </c>
      <c r="D223" s="6" t="str">
        <f t="shared" si="26"/>
        <v>54. Presentación avances saludTotal</v>
      </c>
      <c r="E223" s="29">
        <f t="shared" si="35"/>
        <v>1</v>
      </c>
      <c r="F223" s="56">
        <f>SUMPRODUCT(E218:E222,F218:F222)</f>
        <v>4.4000000000000004</v>
      </c>
      <c r="G223" s="55"/>
      <c r="H223" s="68"/>
    </row>
    <row r="224" spans="1:8" hidden="1">
      <c r="A224" s="10" t="s">
        <v>266</v>
      </c>
      <c r="B224" s="6">
        <f t="shared" si="34"/>
        <v>6</v>
      </c>
      <c r="C224" s="6" t="s">
        <v>20</v>
      </c>
      <c r="D224" s="6" t="str">
        <f>B224&amp;A224&amp;C224</f>
        <v>64. Presentación avances saludClaridad</v>
      </c>
      <c r="E224" s="29">
        <v>0.2</v>
      </c>
      <c r="F224" s="56"/>
      <c r="G224" s="55"/>
    </row>
    <row r="225" spans="1:8" hidden="1">
      <c r="A225" s="10" t="s">
        <v>266</v>
      </c>
      <c r="B225" s="6">
        <f t="shared" si="34"/>
        <v>6</v>
      </c>
      <c r="C225" s="6" t="s">
        <v>21</v>
      </c>
      <c r="D225" s="6" t="str">
        <f t="shared" ref="D225:D228" si="36">B225&amp;A225&amp;C225</f>
        <v>64. Presentación avances saludAvance</v>
      </c>
      <c r="E225" s="29">
        <v>0.2</v>
      </c>
      <c r="F225" s="56"/>
      <c r="G225" s="55"/>
    </row>
    <row r="226" spans="1:8" hidden="1">
      <c r="A226" s="10" t="s">
        <v>266</v>
      </c>
      <c r="B226" s="6">
        <f t="shared" si="34"/>
        <v>6</v>
      </c>
      <c r="C226" s="6" t="s">
        <v>22</v>
      </c>
      <c r="D226" s="6" t="str">
        <f t="shared" si="36"/>
        <v>64. Presentación avances saludComprensión</v>
      </c>
      <c r="E226" s="29">
        <v>0.2</v>
      </c>
      <c r="F226" s="56"/>
      <c r="G226" s="55"/>
    </row>
    <row r="227" spans="1:8" hidden="1">
      <c r="A227" s="10" t="s">
        <v>266</v>
      </c>
      <c r="B227" s="6">
        <f>B221+1</f>
        <v>6</v>
      </c>
      <c r="C227" s="6" t="s">
        <v>23</v>
      </c>
      <c r="D227" s="6" t="str">
        <f t="shared" si="36"/>
        <v>64. Presentación avances saludInnovación</v>
      </c>
      <c r="E227" s="29">
        <v>0.2</v>
      </c>
      <c r="F227" s="56"/>
      <c r="G227" s="55"/>
    </row>
    <row r="228" spans="1:8" hidden="1">
      <c r="A228" s="10" t="s">
        <v>266</v>
      </c>
      <c r="B228" s="6">
        <f t="shared" si="34"/>
        <v>6</v>
      </c>
      <c r="C228" s="6" t="s">
        <v>24</v>
      </c>
      <c r="D228" s="6" t="str">
        <f t="shared" si="36"/>
        <v>64. Presentación avances saludErrores</v>
      </c>
      <c r="E228" s="29">
        <v>0.2</v>
      </c>
      <c r="F228" s="56"/>
      <c r="G228" s="55"/>
    </row>
    <row r="229" spans="1:8" hidden="1">
      <c r="A229" s="10" t="s">
        <v>266</v>
      </c>
      <c r="B229" s="6">
        <f>B223+1</f>
        <v>6</v>
      </c>
      <c r="C229" s="6" t="s">
        <v>6</v>
      </c>
      <c r="D229" s="6" t="str">
        <f>B229&amp;A229&amp;C229</f>
        <v>64. Presentación avances saludTotal</v>
      </c>
      <c r="E229" s="29">
        <f t="shared" si="35"/>
        <v>1</v>
      </c>
      <c r="F229" s="56">
        <f>SUMPRODUCT(E224:E228,F224:F228)</f>
        <v>0</v>
      </c>
      <c r="G229" s="55"/>
    </row>
    <row r="230" spans="1:8">
      <c r="A230" s="10" t="s">
        <v>266</v>
      </c>
      <c r="B230" s="6">
        <f t="shared" si="34"/>
        <v>7</v>
      </c>
      <c r="C230" s="6" t="s">
        <v>20</v>
      </c>
      <c r="D230" s="6" t="str">
        <f>B230&amp;A230&amp;C230</f>
        <v>74. Presentación avances saludClaridad</v>
      </c>
      <c r="E230" s="29">
        <v>0.2</v>
      </c>
      <c r="F230" s="56">
        <v>4</v>
      </c>
      <c r="G230" s="55" t="s">
        <v>258</v>
      </c>
      <c r="H230" s="68"/>
    </row>
    <row r="231" spans="1:8">
      <c r="A231" s="10" t="s">
        <v>266</v>
      </c>
      <c r="B231" s="6">
        <f t="shared" si="34"/>
        <v>7</v>
      </c>
      <c r="C231" s="6" t="s">
        <v>21</v>
      </c>
      <c r="D231" s="6" t="str">
        <f t="shared" ref="D231:D234" si="37">B231&amp;A231&amp;C231</f>
        <v>74. Presentación avances saludAvance</v>
      </c>
      <c r="E231" s="29">
        <v>0.2</v>
      </c>
      <c r="F231" s="56">
        <v>4.5</v>
      </c>
      <c r="G231" s="55" t="s">
        <v>245</v>
      </c>
      <c r="H231" s="68"/>
    </row>
    <row r="232" spans="1:8" ht="90">
      <c r="A232" s="10" t="s">
        <v>266</v>
      </c>
      <c r="B232" s="6">
        <f t="shared" si="34"/>
        <v>7</v>
      </c>
      <c r="C232" s="6" t="s">
        <v>22</v>
      </c>
      <c r="D232" s="6" t="str">
        <f t="shared" si="37"/>
        <v>74. Presentación avances saludComprensión</v>
      </c>
      <c r="E232" s="29">
        <v>0.2</v>
      </c>
      <c r="F232" s="56">
        <v>4</v>
      </c>
      <c r="G232" s="55" t="s">
        <v>259</v>
      </c>
      <c r="H232" s="68"/>
    </row>
    <row r="233" spans="1:8">
      <c r="A233" s="10" t="s">
        <v>266</v>
      </c>
      <c r="B233" s="6">
        <f>B227+1</f>
        <v>7</v>
      </c>
      <c r="C233" s="6" t="s">
        <v>23</v>
      </c>
      <c r="D233" s="6" t="str">
        <f t="shared" si="37"/>
        <v>74. Presentación avances saludInnovación</v>
      </c>
      <c r="E233" s="29">
        <v>0.2</v>
      </c>
      <c r="F233" s="56">
        <v>5</v>
      </c>
      <c r="G233" s="55" t="s">
        <v>243</v>
      </c>
      <c r="H233" s="68"/>
    </row>
    <row r="234" spans="1:8">
      <c r="A234" s="10" t="s">
        <v>266</v>
      </c>
      <c r="B234" s="6">
        <f t="shared" si="34"/>
        <v>7</v>
      </c>
      <c r="C234" s="6" t="s">
        <v>24</v>
      </c>
      <c r="D234" s="6" t="str">
        <f t="shared" si="37"/>
        <v>74. Presentación avances saludErrores</v>
      </c>
      <c r="E234" s="29">
        <v>0.2</v>
      </c>
      <c r="F234" s="56">
        <v>5</v>
      </c>
      <c r="G234" s="55"/>
      <c r="H234" s="68"/>
    </row>
    <row r="235" spans="1:8">
      <c r="A235" s="10" t="s">
        <v>266</v>
      </c>
      <c r="B235" s="6">
        <f>B229+1</f>
        <v>7</v>
      </c>
      <c r="C235" s="6" t="s">
        <v>6</v>
      </c>
      <c r="D235" s="6" t="str">
        <f>B235&amp;A235&amp;C235</f>
        <v>74. Presentación avances saludTotal</v>
      </c>
      <c r="E235" s="29">
        <f t="shared" ref="E235" si="38">SUM(E230:E234)</f>
        <v>1</v>
      </c>
      <c r="F235" s="56">
        <f>SUMPRODUCT(E230:E234,F230:F234)</f>
        <v>4.5</v>
      </c>
      <c r="G235" s="55"/>
      <c r="H235" s="68"/>
    </row>
    <row r="236" spans="1:8" ht="90">
      <c r="A236" s="10" t="s">
        <v>266</v>
      </c>
      <c r="B236" s="6">
        <f t="shared" si="34"/>
        <v>8</v>
      </c>
      <c r="C236" s="6" t="s">
        <v>20</v>
      </c>
      <c r="D236" s="6" t="str">
        <f>B236&amp;A236&amp;C236</f>
        <v>84. Presentación avances saludClaridad</v>
      </c>
      <c r="E236" s="29">
        <v>0.2</v>
      </c>
      <c r="F236" s="56">
        <v>4</v>
      </c>
      <c r="G236" s="55" t="s">
        <v>247</v>
      </c>
      <c r="H236" s="68"/>
    </row>
    <row r="237" spans="1:8">
      <c r="A237" s="10" t="s">
        <v>266</v>
      </c>
      <c r="B237" s="6">
        <f t="shared" si="34"/>
        <v>8</v>
      </c>
      <c r="C237" s="6" t="s">
        <v>21</v>
      </c>
      <c r="D237" s="6" t="str">
        <f t="shared" ref="D237:D240" si="39">B237&amp;A237&amp;C237</f>
        <v>84. Presentación avances saludAvance</v>
      </c>
      <c r="E237" s="29">
        <v>0.2</v>
      </c>
      <c r="F237" s="56">
        <v>4.5</v>
      </c>
      <c r="G237" s="55" t="s">
        <v>248</v>
      </c>
      <c r="H237" s="68"/>
    </row>
    <row r="238" spans="1:8" ht="75">
      <c r="A238" s="10" t="s">
        <v>266</v>
      </c>
      <c r="B238" s="6">
        <f t="shared" si="34"/>
        <v>8</v>
      </c>
      <c r="C238" s="6" t="s">
        <v>22</v>
      </c>
      <c r="D238" s="6" t="str">
        <f t="shared" si="39"/>
        <v>84. Presentación avances saludComprensión</v>
      </c>
      <c r="E238" s="29">
        <v>0.2</v>
      </c>
      <c r="F238" s="56">
        <v>4</v>
      </c>
      <c r="G238" s="55" t="s">
        <v>260</v>
      </c>
      <c r="H238" s="68"/>
    </row>
    <row r="239" spans="1:8">
      <c r="A239" s="10" t="s">
        <v>266</v>
      </c>
      <c r="B239" s="6">
        <f>B233+1</f>
        <v>8</v>
      </c>
      <c r="C239" s="6" t="s">
        <v>23</v>
      </c>
      <c r="D239" s="6" t="str">
        <f t="shared" si="39"/>
        <v>84. Presentación avances saludInnovación</v>
      </c>
      <c r="E239" s="29">
        <v>0.2</v>
      </c>
      <c r="F239" s="56">
        <v>4.5</v>
      </c>
      <c r="G239" s="55" t="s">
        <v>254</v>
      </c>
      <c r="H239" s="68"/>
    </row>
    <row r="240" spans="1:8">
      <c r="A240" s="10" t="s">
        <v>266</v>
      </c>
      <c r="B240" s="6">
        <f t="shared" si="34"/>
        <v>8</v>
      </c>
      <c r="C240" s="6" t="s">
        <v>24</v>
      </c>
      <c r="D240" s="6" t="str">
        <f t="shared" si="39"/>
        <v>84. Presentación avances saludErrores</v>
      </c>
      <c r="E240" s="29">
        <v>0.2</v>
      </c>
      <c r="F240" s="56">
        <v>5</v>
      </c>
      <c r="G240" s="55"/>
      <c r="H240" s="68"/>
    </row>
    <row r="241" spans="1:8">
      <c r="A241" s="10" t="s">
        <v>266</v>
      </c>
      <c r="B241" s="6">
        <f>B235+1</f>
        <v>8</v>
      </c>
      <c r="C241" s="6" t="s">
        <v>6</v>
      </c>
      <c r="D241" s="6" t="str">
        <f>B241&amp;A241&amp;C241</f>
        <v>84. Presentación avances saludTotal</v>
      </c>
      <c r="E241" s="29">
        <f t="shared" ref="E241" si="40">SUM(E236:E240)</f>
        <v>1</v>
      </c>
      <c r="F241" s="56">
        <f>SUMPRODUCT(E236:E240,F236:F240)</f>
        <v>4.4000000000000004</v>
      </c>
      <c r="G241" s="55"/>
      <c r="H241" s="68"/>
    </row>
    <row r="242" spans="1:8">
      <c r="A242" s="6" t="s">
        <v>37</v>
      </c>
      <c r="B242" s="6">
        <v>1</v>
      </c>
      <c r="C242" s="6" t="s">
        <v>38</v>
      </c>
      <c r="D242" s="6" t="str">
        <f t="shared" ref="D242:D277" si="41">B242&amp;A242&amp;C242</f>
        <v>1Trabajo SaludDescripción problema</v>
      </c>
      <c r="E242" s="29">
        <v>0.1</v>
      </c>
      <c r="F242" s="56">
        <v>5</v>
      </c>
      <c r="G242" s="55"/>
    </row>
    <row r="243" spans="1:8">
      <c r="A243" s="6" t="s">
        <v>37</v>
      </c>
      <c r="B243" s="6">
        <v>1</v>
      </c>
      <c r="C243" s="6" t="s">
        <v>39</v>
      </c>
      <c r="D243" s="6" t="str">
        <f t="shared" si="41"/>
        <v>1Trabajo SaludDiseño de la solución</v>
      </c>
      <c r="E243" s="29">
        <v>0.15</v>
      </c>
      <c r="F243" s="56">
        <v>5</v>
      </c>
      <c r="G243" s="55"/>
    </row>
    <row r="244" spans="1:8">
      <c r="A244" s="6" t="s">
        <v>37</v>
      </c>
      <c r="B244" s="6">
        <v>1</v>
      </c>
      <c r="C244" s="6" t="s">
        <v>3</v>
      </c>
      <c r="D244" s="6" t="str">
        <f t="shared" si="41"/>
        <v>1Trabajo Saludcódigo</v>
      </c>
      <c r="E244" s="29">
        <v>0.2</v>
      </c>
      <c r="F244" s="56">
        <v>5</v>
      </c>
      <c r="G244" s="55"/>
    </row>
    <row r="245" spans="1:8">
      <c r="A245" s="6" t="s">
        <v>37</v>
      </c>
      <c r="B245" s="6">
        <v>1</v>
      </c>
      <c r="C245" s="6" t="s">
        <v>4</v>
      </c>
      <c r="D245" s="6" t="str">
        <f t="shared" si="41"/>
        <v>1Trabajo SaludAnálisis</v>
      </c>
      <c r="E245" s="29">
        <v>0.35</v>
      </c>
      <c r="F245" s="56">
        <v>5</v>
      </c>
      <c r="G245" s="55"/>
    </row>
    <row r="246" spans="1:8">
      <c r="A246" s="6" t="s">
        <v>37</v>
      </c>
      <c r="B246" s="6">
        <v>1</v>
      </c>
      <c r="C246" s="6" t="s">
        <v>5</v>
      </c>
      <c r="D246" s="6" t="str">
        <f t="shared" si="41"/>
        <v>1Trabajo SaludRedacción</v>
      </c>
      <c r="E246" s="29">
        <v>0.2</v>
      </c>
      <c r="F246" s="56">
        <v>5</v>
      </c>
      <c r="G246" s="55"/>
    </row>
    <row r="247" spans="1:8">
      <c r="A247" s="6" t="s">
        <v>37</v>
      </c>
      <c r="B247" s="6">
        <f>B246</f>
        <v>1</v>
      </c>
      <c r="C247" s="19" t="s">
        <v>6</v>
      </c>
      <c r="D247" s="6" t="str">
        <f t="shared" si="41"/>
        <v>1Trabajo SaludTotal</v>
      </c>
      <c r="E247" s="29">
        <f>SUM(E242:E246)</f>
        <v>1</v>
      </c>
      <c r="F247" s="56">
        <f>SUMPRODUCT(E242:E246,F242:F246)</f>
        <v>5</v>
      </c>
      <c r="G247" s="55"/>
    </row>
    <row r="248" spans="1:8">
      <c r="A248" s="6" t="s">
        <v>37</v>
      </c>
      <c r="B248" s="6">
        <f t="shared" ref="B248:B253" si="42">B242+1</f>
        <v>2</v>
      </c>
      <c r="C248" s="6" t="s">
        <v>38</v>
      </c>
      <c r="D248" s="6" t="str">
        <f t="shared" si="41"/>
        <v>2Trabajo SaludDescripción problema</v>
      </c>
      <c r="E248" s="29">
        <v>0.1</v>
      </c>
      <c r="F248" s="56">
        <v>5</v>
      </c>
      <c r="G248" s="55"/>
    </row>
    <row r="249" spans="1:8">
      <c r="A249" s="6" t="s">
        <v>37</v>
      </c>
      <c r="B249" s="6">
        <f t="shared" si="42"/>
        <v>2</v>
      </c>
      <c r="C249" s="6" t="s">
        <v>39</v>
      </c>
      <c r="D249" s="6" t="str">
        <f t="shared" si="41"/>
        <v>2Trabajo SaludDiseño de la solución</v>
      </c>
      <c r="E249" s="29">
        <v>0.15</v>
      </c>
      <c r="F249" s="56">
        <v>5</v>
      </c>
      <c r="G249" s="55"/>
    </row>
    <row r="250" spans="1:8">
      <c r="A250" s="6" t="s">
        <v>37</v>
      </c>
      <c r="B250" s="6">
        <f t="shared" si="42"/>
        <v>2</v>
      </c>
      <c r="C250" s="6" t="s">
        <v>3</v>
      </c>
      <c r="D250" s="6" t="str">
        <f t="shared" si="41"/>
        <v>2Trabajo Saludcódigo</v>
      </c>
      <c r="E250" s="29">
        <v>0.2</v>
      </c>
      <c r="F250" s="56">
        <v>5</v>
      </c>
      <c r="G250" s="55"/>
    </row>
    <row r="251" spans="1:8">
      <c r="A251" s="6" t="s">
        <v>37</v>
      </c>
      <c r="B251" s="6">
        <f t="shared" si="42"/>
        <v>2</v>
      </c>
      <c r="C251" s="6" t="s">
        <v>4</v>
      </c>
      <c r="D251" s="6" t="str">
        <f t="shared" si="41"/>
        <v>2Trabajo SaludAnálisis</v>
      </c>
      <c r="E251" s="29">
        <v>0.35</v>
      </c>
      <c r="F251" s="56">
        <v>5</v>
      </c>
      <c r="G251" s="55"/>
    </row>
    <row r="252" spans="1:8">
      <c r="A252" s="6" t="s">
        <v>37</v>
      </c>
      <c r="B252" s="6">
        <f t="shared" si="42"/>
        <v>2</v>
      </c>
      <c r="C252" s="6" t="s">
        <v>5</v>
      </c>
      <c r="D252" s="6" t="str">
        <f t="shared" si="41"/>
        <v>2Trabajo SaludRedacción</v>
      </c>
      <c r="E252" s="29">
        <v>0.2</v>
      </c>
      <c r="F252" s="56">
        <v>5</v>
      </c>
      <c r="G252" s="55"/>
    </row>
    <row r="253" spans="1:8">
      <c r="A253" s="6" t="s">
        <v>37</v>
      </c>
      <c r="B253" s="6">
        <f t="shared" si="42"/>
        <v>2</v>
      </c>
      <c r="C253" s="19" t="s">
        <v>6</v>
      </c>
      <c r="D253" s="6" t="str">
        <f t="shared" si="41"/>
        <v>2Trabajo SaludTotal</v>
      </c>
      <c r="E253" s="29">
        <f t="shared" ref="E253" si="43">SUM(E248:E252)</f>
        <v>1</v>
      </c>
      <c r="F253" s="56">
        <f>SUMPRODUCT(E248:E252,F248:F252)</f>
        <v>5</v>
      </c>
      <c r="G253" s="55"/>
    </row>
    <row r="254" spans="1:8">
      <c r="A254" s="6" t="s">
        <v>37</v>
      </c>
      <c r="B254" s="6">
        <f t="shared" ref="B254:B289" si="44">B248+1</f>
        <v>3</v>
      </c>
      <c r="C254" s="6" t="s">
        <v>38</v>
      </c>
      <c r="D254" s="6" t="str">
        <f t="shared" si="41"/>
        <v>3Trabajo SaludDescripción problema</v>
      </c>
      <c r="E254" s="29">
        <v>0.1</v>
      </c>
      <c r="F254" s="56">
        <v>5</v>
      </c>
      <c r="G254" s="55"/>
    </row>
    <row r="255" spans="1:8">
      <c r="A255" s="6" t="s">
        <v>37</v>
      </c>
      <c r="B255" s="6">
        <f t="shared" si="44"/>
        <v>3</v>
      </c>
      <c r="C255" s="6" t="s">
        <v>39</v>
      </c>
      <c r="D255" s="6" t="str">
        <f t="shared" si="41"/>
        <v>3Trabajo SaludDiseño de la solución</v>
      </c>
      <c r="E255" s="29">
        <v>0.15</v>
      </c>
      <c r="F255" s="56">
        <v>5</v>
      </c>
      <c r="G255" s="55"/>
    </row>
    <row r="256" spans="1:8">
      <c r="A256" s="6" t="s">
        <v>37</v>
      </c>
      <c r="B256" s="6">
        <f t="shared" si="44"/>
        <v>3</v>
      </c>
      <c r="C256" s="6" t="s">
        <v>3</v>
      </c>
      <c r="D256" s="6" t="str">
        <f t="shared" si="41"/>
        <v>3Trabajo Saludcódigo</v>
      </c>
      <c r="E256" s="29">
        <v>0.2</v>
      </c>
      <c r="F256" s="56">
        <v>5</v>
      </c>
      <c r="G256" s="55"/>
    </row>
    <row r="257" spans="1:7" ht="30">
      <c r="A257" s="6" t="s">
        <v>37</v>
      </c>
      <c r="B257" s="6">
        <f t="shared" si="44"/>
        <v>3</v>
      </c>
      <c r="C257" s="6" t="s">
        <v>4</v>
      </c>
      <c r="D257" s="6" t="str">
        <f t="shared" si="41"/>
        <v>3Trabajo SaludAnálisis</v>
      </c>
      <c r="E257" s="29">
        <v>0.35</v>
      </c>
      <c r="F257" s="56">
        <v>5</v>
      </c>
      <c r="G257" s="55" t="s">
        <v>271</v>
      </c>
    </row>
    <row r="258" spans="1:7" ht="30">
      <c r="A258" s="6" t="s">
        <v>37</v>
      </c>
      <c r="B258" s="6">
        <f t="shared" si="44"/>
        <v>3</v>
      </c>
      <c r="C258" s="6" t="s">
        <v>5</v>
      </c>
      <c r="D258" s="6" t="str">
        <f t="shared" si="41"/>
        <v>3Trabajo SaludRedacción</v>
      </c>
      <c r="E258" s="29">
        <v>0.2</v>
      </c>
      <c r="F258" s="56">
        <v>5</v>
      </c>
      <c r="G258" s="55" t="s">
        <v>272</v>
      </c>
    </row>
    <row r="259" spans="1:7">
      <c r="A259" s="6" t="s">
        <v>37</v>
      </c>
      <c r="B259" s="6">
        <f t="shared" si="44"/>
        <v>3</v>
      </c>
      <c r="C259" s="19" t="s">
        <v>6</v>
      </c>
      <c r="D259" s="6" t="str">
        <f t="shared" si="41"/>
        <v>3Trabajo SaludTotal</v>
      </c>
      <c r="E259" s="29">
        <f t="shared" ref="E259" si="45">SUM(E254:E258)</f>
        <v>1</v>
      </c>
      <c r="F259" s="56">
        <f>SUMPRODUCT(E254:E258,F254:F258)</f>
        <v>5</v>
      </c>
      <c r="G259" s="55"/>
    </row>
    <row r="260" spans="1:7">
      <c r="A260" s="6" t="s">
        <v>37</v>
      </c>
      <c r="B260" s="6">
        <f t="shared" si="44"/>
        <v>4</v>
      </c>
      <c r="C260" s="6" t="s">
        <v>38</v>
      </c>
      <c r="D260" s="6" t="str">
        <f t="shared" si="41"/>
        <v>4Trabajo SaludDescripción problema</v>
      </c>
      <c r="E260" s="29">
        <v>0.1</v>
      </c>
      <c r="F260" s="56">
        <v>5</v>
      </c>
      <c r="G260" s="55"/>
    </row>
    <row r="261" spans="1:7">
      <c r="A261" s="6" t="s">
        <v>37</v>
      </c>
      <c r="B261" s="6">
        <f t="shared" si="44"/>
        <v>4</v>
      </c>
      <c r="C261" s="6" t="s">
        <v>39</v>
      </c>
      <c r="D261" s="6" t="str">
        <f t="shared" si="41"/>
        <v>4Trabajo SaludDiseño de la solución</v>
      </c>
      <c r="E261" s="29">
        <v>0.15</v>
      </c>
      <c r="F261" s="56">
        <v>5</v>
      </c>
      <c r="G261" s="55"/>
    </row>
    <row r="262" spans="1:7">
      <c r="A262" s="6" t="s">
        <v>37</v>
      </c>
      <c r="B262" s="6">
        <f t="shared" si="44"/>
        <v>4</v>
      </c>
      <c r="C262" s="6" t="s">
        <v>3</v>
      </c>
      <c r="D262" s="6" t="str">
        <f t="shared" si="41"/>
        <v>4Trabajo Saludcódigo</v>
      </c>
      <c r="E262" s="29">
        <v>0.2</v>
      </c>
      <c r="F262" s="56">
        <v>5</v>
      </c>
      <c r="G262" s="55"/>
    </row>
    <row r="263" spans="1:7">
      <c r="A263" s="6" t="s">
        <v>37</v>
      </c>
      <c r="B263" s="6">
        <f t="shared" si="44"/>
        <v>4</v>
      </c>
      <c r="C263" s="6" t="s">
        <v>4</v>
      </c>
      <c r="D263" s="6" t="str">
        <f t="shared" si="41"/>
        <v>4Trabajo SaludAnálisis</v>
      </c>
      <c r="E263" s="29">
        <v>0.35</v>
      </c>
      <c r="F263" s="56">
        <v>5</v>
      </c>
      <c r="G263" s="55"/>
    </row>
    <row r="264" spans="1:7">
      <c r="A264" s="6" t="s">
        <v>37</v>
      </c>
      <c r="B264" s="6">
        <f t="shared" si="44"/>
        <v>4</v>
      </c>
      <c r="C264" s="6" t="s">
        <v>5</v>
      </c>
      <c r="D264" s="6" t="str">
        <f t="shared" si="41"/>
        <v>4Trabajo SaludRedacción</v>
      </c>
      <c r="E264" s="29">
        <v>0.2</v>
      </c>
      <c r="F264" s="56">
        <v>5</v>
      </c>
      <c r="G264" s="55"/>
    </row>
    <row r="265" spans="1:7">
      <c r="A265" s="6" t="s">
        <v>37</v>
      </c>
      <c r="B265" s="6">
        <f t="shared" si="44"/>
        <v>4</v>
      </c>
      <c r="C265" s="19" t="s">
        <v>6</v>
      </c>
      <c r="D265" s="6" t="str">
        <f t="shared" si="41"/>
        <v>4Trabajo SaludTotal</v>
      </c>
      <c r="E265" s="29">
        <f t="shared" ref="E265" si="46">SUM(E260:E264)</f>
        <v>1</v>
      </c>
      <c r="F265" s="56">
        <f>SUMPRODUCT(E260:E264,F260:F264)</f>
        <v>5</v>
      </c>
      <c r="G265" s="55"/>
    </row>
    <row r="266" spans="1:7">
      <c r="A266" s="6" t="s">
        <v>37</v>
      </c>
      <c r="B266" s="6">
        <f t="shared" si="44"/>
        <v>5</v>
      </c>
      <c r="C266" s="6" t="s">
        <v>38</v>
      </c>
      <c r="D266" s="6" t="str">
        <f t="shared" si="41"/>
        <v>5Trabajo SaludDescripción problema</v>
      </c>
      <c r="E266" s="29">
        <v>0.1</v>
      </c>
      <c r="F266" s="56">
        <v>5</v>
      </c>
      <c r="G266" s="55"/>
    </row>
    <row r="267" spans="1:7">
      <c r="A267" s="6" t="s">
        <v>37</v>
      </c>
      <c r="B267" s="6">
        <f t="shared" si="44"/>
        <v>5</v>
      </c>
      <c r="C267" s="6" t="s">
        <v>39</v>
      </c>
      <c r="D267" s="6" t="str">
        <f t="shared" si="41"/>
        <v>5Trabajo SaludDiseño de la solución</v>
      </c>
      <c r="E267" s="29">
        <v>0.15</v>
      </c>
      <c r="F267" s="56">
        <v>5</v>
      </c>
      <c r="G267" s="55"/>
    </row>
    <row r="268" spans="1:7">
      <c r="A268" s="6" t="s">
        <v>37</v>
      </c>
      <c r="B268" s="6">
        <f t="shared" si="44"/>
        <v>5</v>
      </c>
      <c r="C268" s="6" t="s">
        <v>3</v>
      </c>
      <c r="D268" s="6" t="str">
        <f t="shared" si="41"/>
        <v>5Trabajo Saludcódigo</v>
      </c>
      <c r="E268" s="29">
        <v>0.2</v>
      </c>
      <c r="F268" s="56">
        <v>5</v>
      </c>
      <c r="G268" s="55"/>
    </row>
    <row r="269" spans="1:7">
      <c r="A269" s="6" t="s">
        <v>37</v>
      </c>
      <c r="B269" s="6">
        <f t="shared" si="44"/>
        <v>5</v>
      </c>
      <c r="C269" s="6" t="s">
        <v>4</v>
      </c>
      <c r="D269" s="6" t="str">
        <f t="shared" si="41"/>
        <v>5Trabajo SaludAnálisis</v>
      </c>
      <c r="E269" s="29">
        <v>0.35</v>
      </c>
      <c r="F269" s="56">
        <v>5</v>
      </c>
      <c r="G269" s="55"/>
    </row>
    <row r="270" spans="1:7">
      <c r="A270" s="6" t="s">
        <v>37</v>
      </c>
      <c r="B270" s="6">
        <f t="shared" si="44"/>
        <v>5</v>
      </c>
      <c r="C270" s="6" t="s">
        <v>5</v>
      </c>
      <c r="D270" s="6" t="str">
        <f t="shared" si="41"/>
        <v>5Trabajo SaludRedacción</v>
      </c>
      <c r="E270" s="29">
        <v>0.2</v>
      </c>
      <c r="F270" s="56">
        <v>5</v>
      </c>
      <c r="G270" s="55"/>
    </row>
    <row r="271" spans="1:7">
      <c r="A271" s="6" t="s">
        <v>37</v>
      </c>
      <c r="B271" s="6">
        <f t="shared" si="44"/>
        <v>5</v>
      </c>
      <c r="C271" s="19" t="s">
        <v>6</v>
      </c>
      <c r="D271" s="6" t="str">
        <f t="shared" si="41"/>
        <v>5Trabajo SaludTotal</v>
      </c>
      <c r="E271" s="29">
        <f t="shared" ref="E271" si="47">SUM(E266:E270)</f>
        <v>1</v>
      </c>
      <c r="F271" s="56">
        <f>SUMPRODUCT(E266:E270,F266:F270)</f>
        <v>5</v>
      </c>
      <c r="G271" s="55"/>
    </row>
    <row r="272" spans="1:7" hidden="1">
      <c r="A272" s="6" t="s">
        <v>37</v>
      </c>
      <c r="B272" s="6">
        <f t="shared" si="44"/>
        <v>6</v>
      </c>
      <c r="C272" s="6" t="s">
        <v>38</v>
      </c>
      <c r="D272" s="6" t="str">
        <f t="shared" si="41"/>
        <v>6Trabajo SaludDescripción problema</v>
      </c>
      <c r="E272" s="29">
        <v>0.1</v>
      </c>
      <c r="F272" s="56"/>
      <c r="G272" s="55"/>
    </row>
    <row r="273" spans="1:7" hidden="1">
      <c r="A273" s="6" t="s">
        <v>37</v>
      </c>
      <c r="B273" s="6">
        <f t="shared" si="44"/>
        <v>6</v>
      </c>
      <c r="C273" s="6" t="s">
        <v>39</v>
      </c>
      <c r="D273" s="6" t="str">
        <f t="shared" si="41"/>
        <v>6Trabajo SaludDiseño de la solución</v>
      </c>
      <c r="E273" s="29">
        <v>0.15</v>
      </c>
      <c r="F273" s="56"/>
      <c r="G273" s="55"/>
    </row>
    <row r="274" spans="1:7" hidden="1">
      <c r="A274" s="6" t="s">
        <v>37</v>
      </c>
      <c r="B274" s="6">
        <f t="shared" si="44"/>
        <v>6</v>
      </c>
      <c r="C274" s="6" t="s">
        <v>3</v>
      </c>
      <c r="D274" s="6" t="str">
        <f t="shared" si="41"/>
        <v>6Trabajo Saludcódigo</v>
      </c>
      <c r="E274" s="29">
        <v>0.2</v>
      </c>
      <c r="F274" s="56"/>
      <c r="G274" s="55"/>
    </row>
    <row r="275" spans="1:7" hidden="1">
      <c r="A275" s="6" t="s">
        <v>37</v>
      </c>
      <c r="B275" s="6">
        <f t="shared" si="44"/>
        <v>6</v>
      </c>
      <c r="C275" s="6" t="s">
        <v>4</v>
      </c>
      <c r="D275" s="6" t="str">
        <f t="shared" si="41"/>
        <v>6Trabajo SaludAnálisis</v>
      </c>
      <c r="E275" s="29">
        <v>0.35</v>
      </c>
      <c r="F275" s="56"/>
      <c r="G275" s="55"/>
    </row>
    <row r="276" spans="1:7" hidden="1">
      <c r="A276" s="6" t="s">
        <v>37</v>
      </c>
      <c r="B276" s="6">
        <f t="shared" si="44"/>
        <v>6</v>
      </c>
      <c r="C276" s="6" t="s">
        <v>5</v>
      </c>
      <c r="D276" s="6" t="str">
        <f t="shared" si="41"/>
        <v>6Trabajo SaludRedacción</v>
      </c>
      <c r="E276" s="29">
        <v>0.2</v>
      </c>
      <c r="F276" s="56"/>
      <c r="G276" s="55"/>
    </row>
    <row r="277" spans="1:7" hidden="1">
      <c r="A277" s="6" t="s">
        <v>37</v>
      </c>
      <c r="B277" s="6">
        <f t="shared" si="44"/>
        <v>6</v>
      </c>
      <c r="C277" s="19" t="s">
        <v>6</v>
      </c>
      <c r="D277" s="6" t="str">
        <f t="shared" si="41"/>
        <v>6Trabajo SaludTotal</v>
      </c>
      <c r="E277" s="29">
        <f t="shared" ref="E277" si="48">SUM(E272:E276)</f>
        <v>1</v>
      </c>
      <c r="F277" s="56">
        <f>SUMPRODUCT(E272:E276,F272:F276)</f>
        <v>0</v>
      </c>
      <c r="G277" s="55"/>
    </row>
    <row r="278" spans="1:7">
      <c r="A278" s="6" t="s">
        <v>37</v>
      </c>
      <c r="B278" s="6">
        <f t="shared" si="44"/>
        <v>7</v>
      </c>
      <c r="C278" s="6" t="s">
        <v>38</v>
      </c>
      <c r="D278" s="6" t="str">
        <f t="shared" ref="D278:D283" si="49">B278&amp;A278&amp;C278</f>
        <v>7Trabajo SaludDescripción problema</v>
      </c>
      <c r="E278" s="29">
        <v>0.1</v>
      </c>
      <c r="F278" s="56">
        <v>4.5</v>
      </c>
      <c r="G278" s="55" t="s">
        <v>273</v>
      </c>
    </row>
    <row r="279" spans="1:7" ht="45">
      <c r="A279" s="6" t="s">
        <v>37</v>
      </c>
      <c r="B279" s="6">
        <f t="shared" si="44"/>
        <v>7</v>
      </c>
      <c r="C279" s="6" t="s">
        <v>39</v>
      </c>
      <c r="D279" s="6" t="str">
        <f t="shared" si="49"/>
        <v>7Trabajo SaludDiseño de la solución</v>
      </c>
      <c r="E279" s="29">
        <v>0.15</v>
      </c>
      <c r="F279" s="56">
        <v>4</v>
      </c>
      <c r="G279" s="55" t="s">
        <v>274</v>
      </c>
    </row>
    <row r="280" spans="1:7" ht="30">
      <c r="A280" s="6" t="s">
        <v>37</v>
      </c>
      <c r="B280" s="6">
        <f t="shared" si="44"/>
        <v>7</v>
      </c>
      <c r="C280" s="6" t="s">
        <v>3</v>
      </c>
      <c r="D280" s="6" t="str">
        <f t="shared" si="49"/>
        <v>7Trabajo Saludcódigo</v>
      </c>
      <c r="E280" s="29">
        <v>0.2</v>
      </c>
      <c r="F280" s="56">
        <v>4</v>
      </c>
      <c r="G280" s="55" t="s">
        <v>277</v>
      </c>
    </row>
    <row r="281" spans="1:7" ht="30">
      <c r="A281" s="6" t="s">
        <v>37</v>
      </c>
      <c r="B281" s="6">
        <f t="shared" si="44"/>
        <v>7</v>
      </c>
      <c r="C281" s="6" t="s">
        <v>4</v>
      </c>
      <c r="D281" s="6" t="str">
        <f t="shared" si="49"/>
        <v>7Trabajo SaludAnálisis</v>
      </c>
      <c r="E281" s="29">
        <v>0.35</v>
      </c>
      <c r="F281" s="56">
        <v>4.5</v>
      </c>
      <c r="G281" s="55" t="s">
        <v>275</v>
      </c>
    </row>
    <row r="282" spans="1:7" ht="30">
      <c r="A282" s="6" t="s">
        <v>37</v>
      </c>
      <c r="B282" s="6">
        <f t="shared" si="44"/>
        <v>7</v>
      </c>
      <c r="C282" s="6" t="s">
        <v>5</v>
      </c>
      <c r="D282" s="6" t="str">
        <f t="shared" si="49"/>
        <v>7Trabajo SaludRedacción</v>
      </c>
      <c r="E282" s="29">
        <v>0.2</v>
      </c>
      <c r="F282" s="56">
        <v>4.5</v>
      </c>
      <c r="G282" s="55" t="s">
        <v>276</v>
      </c>
    </row>
    <row r="283" spans="1:7">
      <c r="A283" s="6" t="s">
        <v>37</v>
      </c>
      <c r="B283" s="6">
        <f t="shared" si="44"/>
        <v>7</v>
      </c>
      <c r="C283" s="19" t="s">
        <v>6</v>
      </c>
      <c r="D283" s="6" t="str">
        <f t="shared" si="49"/>
        <v>7Trabajo SaludTotal</v>
      </c>
      <c r="E283" s="29">
        <f t="shared" ref="E283" si="50">SUM(E278:E282)</f>
        <v>1</v>
      </c>
      <c r="F283" s="56">
        <f>SUMPRODUCT(E278:E282,F278:F282)</f>
        <v>4.3250000000000002</v>
      </c>
      <c r="G283" s="55"/>
    </row>
    <row r="284" spans="1:7">
      <c r="A284" s="6" t="s">
        <v>37</v>
      </c>
      <c r="B284" s="6">
        <f t="shared" si="44"/>
        <v>8</v>
      </c>
      <c r="C284" s="6" t="s">
        <v>38</v>
      </c>
      <c r="D284" s="6" t="str">
        <f t="shared" ref="D284:D289" si="51">B284&amp;A284&amp;C284</f>
        <v>8Trabajo SaludDescripción problema</v>
      </c>
      <c r="E284" s="29">
        <v>0.1</v>
      </c>
      <c r="F284" s="56">
        <v>4</v>
      </c>
      <c r="G284" s="55" t="s">
        <v>279</v>
      </c>
    </row>
    <row r="285" spans="1:7" ht="75">
      <c r="A285" s="6" t="s">
        <v>37</v>
      </c>
      <c r="B285" s="6">
        <f t="shared" si="44"/>
        <v>8</v>
      </c>
      <c r="C285" s="6" t="s">
        <v>39</v>
      </c>
      <c r="D285" s="6" t="str">
        <f t="shared" si="51"/>
        <v>8Trabajo SaludDiseño de la solución</v>
      </c>
      <c r="E285" s="29">
        <v>0.15</v>
      </c>
      <c r="F285" s="56">
        <v>4</v>
      </c>
      <c r="G285" s="55" t="s">
        <v>278</v>
      </c>
    </row>
    <row r="286" spans="1:7" ht="30">
      <c r="A286" s="6" t="s">
        <v>37</v>
      </c>
      <c r="B286" s="6">
        <f t="shared" si="44"/>
        <v>8</v>
      </c>
      <c r="C286" s="6" t="s">
        <v>3</v>
      </c>
      <c r="D286" s="6" t="str">
        <f t="shared" si="51"/>
        <v>8Trabajo Saludcódigo</v>
      </c>
      <c r="E286" s="29">
        <v>0.2</v>
      </c>
      <c r="F286" s="56">
        <v>4</v>
      </c>
      <c r="G286" s="55" t="s">
        <v>282</v>
      </c>
    </row>
    <row r="287" spans="1:7" ht="60">
      <c r="A287" s="6" t="s">
        <v>37</v>
      </c>
      <c r="B287" s="6">
        <f t="shared" si="44"/>
        <v>8</v>
      </c>
      <c r="C287" s="6" t="s">
        <v>4</v>
      </c>
      <c r="D287" s="6" t="str">
        <f t="shared" si="51"/>
        <v>8Trabajo SaludAnálisis</v>
      </c>
      <c r="E287" s="29">
        <v>0.35</v>
      </c>
      <c r="F287" s="56">
        <v>4.5</v>
      </c>
      <c r="G287" s="55" t="s">
        <v>280</v>
      </c>
    </row>
    <row r="288" spans="1:7" ht="30">
      <c r="A288" s="6" t="s">
        <v>37</v>
      </c>
      <c r="B288" s="6">
        <f t="shared" si="44"/>
        <v>8</v>
      </c>
      <c r="C288" s="6" t="s">
        <v>5</v>
      </c>
      <c r="D288" s="6" t="str">
        <f t="shared" si="51"/>
        <v>8Trabajo SaludRedacción</v>
      </c>
      <c r="E288" s="29">
        <v>0.2</v>
      </c>
      <c r="F288" s="56">
        <v>4</v>
      </c>
      <c r="G288" s="55" t="s">
        <v>281</v>
      </c>
    </row>
    <row r="289" spans="1:7">
      <c r="A289" s="6" t="s">
        <v>37</v>
      </c>
      <c r="B289" s="6">
        <f t="shared" si="44"/>
        <v>8</v>
      </c>
      <c r="C289" s="19" t="s">
        <v>6</v>
      </c>
      <c r="D289" s="6" t="str">
        <f t="shared" si="51"/>
        <v>8Trabajo SaludTotal</v>
      </c>
      <c r="E289" s="29">
        <f t="shared" ref="E289" si="52">SUM(E284:E288)</f>
        <v>1</v>
      </c>
      <c r="F289" s="56">
        <f>SUMPRODUCT(E284:E288,F284:F288)</f>
        <v>4.1749999999999998</v>
      </c>
      <c r="G289" s="55"/>
    </row>
    <row r="290" spans="1:7">
      <c r="A290" s="25" t="s">
        <v>44</v>
      </c>
      <c r="B290" s="6">
        <v>1</v>
      </c>
      <c r="C290" s="6" t="s">
        <v>39</v>
      </c>
      <c r="D290" s="6" t="str">
        <f>B290&amp;A290&amp;C290</f>
        <v>1Trabajo finanzasDiseño de la solución</v>
      </c>
      <c r="E290" s="29">
        <v>0.2</v>
      </c>
      <c r="F290" s="56">
        <v>5</v>
      </c>
      <c r="G290" s="55"/>
    </row>
    <row r="291" spans="1:7">
      <c r="A291" s="25" t="s">
        <v>44</v>
      </c>
      <c r="B291" s="6">
        <v>1</v>
      </c>
      <c r="C291" s="6" t="s">
        <v>45</v>
      </c>
      <c r="D291" s="6" t="str">
        <f t="shared" ref="D291:D299" si="53">B291&amp;A291&amp;C291</f>
        <v>1Trabajo finanzasPresentación</v>
      </c>
      <c r="E291" s="29">
        <v>0.2</v>
      </c>
      <c r="F291" s="56">
        <v>5</v>
      </c>
      <c r="G291" s="55"/>
    </row>
    <row r="292" spans="1:7">
      <c r="A292" s="25" t="s">
        <v>44</v>
      </c>
      <c r="B292" s="6">
        <v>1</v>
      </c>
      <c r="C292" s="6" t="s">
        <v>46</v>
      </c>
      <c r="D292" s="6" t="str">
        <f t="shared" si="53"/>
        <v>1Trabajo finanzasMetodología</v>
      </c>
      <c r="E292" s="29">
        <v>0.3</v>
      </c>
      <c r="F292" s="56">
        <v>5</v>
      </c>
      <c r="G292" s="55"/>
    </row>
    <row r="293" spans="1:7">
      <c r="A293" s="25" t="s">
        <v>44</v>
      </c>
      <c r="B293" s="6">
        <v>1</v>
      </c>
      <c r="C293" s="6" t="s">
        <v>47</v>
      </c>
      <c r="D293" s="6" t="str">
        <f t="shared" si="53"/>
        <v>1Trabajo finanzasAnálisis de resultados</v>
      </c>
      <c r="E293" s="29">
        <v>0.3</v>
      </c>
      <c r="F293" s="56">
        <v>5</v>
      </c>
      <c r="G293" s="55"/>
    </row>
    <row r="294" spans="1:7">
      <c r="A294" s="25" t="s">
        <v>44</v>
      </c>
      <c r="B294" s="6">
        <v>1</v>
      </c>
      <c r="C294" s="19" t="s">
        <v>6</v>
      </c>
      <c r="D294" s="6" t="str">
        <f t="shared" si="53"/>
        <v>1Trabajo finanzasTotal</v>
      </c>
      <c r="E294" s="29">
        <f>SUM(E290:E293)</f>
        <v>1</v>
      </c>
      <c r="F294" s="56">
        <f>SUMPRODUCT(E290:E293,F290:F293)</f>
        <v>5</v>
      </c>
      <c r="G294" s="55"/>
    </row>
    <row r="295" spans="1:7" ht="30">
      <c r="A295" s="25" t="s">
        <v>44</v>
      </c>
      <c r="B295" s="6">
        <f t="shared" ref="B295:B328" si="54">B290+1</f>
        <v>2</v>
      </c>
      <c r="C295" s="6" t="s">
        <v>39</v>
      </c>
      <c r="D295" s="6" t="str">
        <f t="shared" si="53"/>
        <v>2Trabajo finanzasDiseño de la solución</v>
      </c>
      <c r="E295" s="29">
        <v>0.2</v>
      </c>
      <c r="F295" s="56">
        <v>4.7</v>
      </c>
      <c r="G295" s="55" t="s">
        <v>284</v>
      </c>
    </row>
    <row r="296" spans="1:7">
      <c r="A296" s="25" t="s">
        <v>44</v>
      </c>
      <c r="B296" s="6">
        <f t="shared" si="54"/>
        <v>2</v>
      </c>
      <c r="C296" s="6" t="s">
        <v>45</v>
      </c>
      <c r="D296" s="6" t="str">
        <f t="shared" si="53"/>
        <v>2Trabajo finanzasPresentación</v>
      </c>
      <c r="E296" s="29">
        <v>0.2</v>
      </c>
      <c r="F296" s="56">
        <v>4.5</v>
      </c>
      <c r="G296" s="55" t="s">
        <v>285</v>
      </c>
    </row>
    <row r="297" spans="1:7">
      <c r="A297" s="25" t="s">
        <v>44</v>
      </c>
      <c r="B297" s="6">
        <f t="shared" si="54"/>
        <v>2</v>
      </c>
      <c r="C297" s="6" t="s">
        <v>46</v>
      </c>
      <c r="D297" s="6" t="str">
        <f t="shared" si="53"/>
        <v>2Trabajo finanzasMetodología</v>
      </c>
      <c r="E297" s="29">
        <v>0.3</v>
      </c>
      <c r="F297" s="56">
        <v>4.5</v>
      </c>
      <c r="G297" s="55" t="s">
        <v>283</v>
      </c>
    </row>
    <row r="298" spans="1:7">
      <c r="A298" s="25" t="s">
        <v>44</v>
      </c>
      <c r="B298" s="6">
        <f t="shared" si="54"/>
        <v>2</v>
      </c>
      <c r="C298" s="6" t="s">
        <v>47</v>
      </c>
      <c r="D298" s="6" t="str">
        <f t="shared" si="53"/>
        <v>2Trabajo finanzasAnálisis de resultados</v>
      </c>
      <c r="E298" s="29">
        <v>0.3</v>
      </c>
      <c r="F298" s="56">
        <v>5</v>
      </c>
      <c r="G298" s="55"/>
    </row>
    <row r="299" spans="1:7">
      <c r="A299" s="25" t="s">
        <v>44</v>
      </c>
      <c r="B299" s="6">
        <f>B294+1</f>
        <v>2</v>
      </c>
      <c r="C299" s="19" t="s">
        <v>6</v>
      </c>
      <c r="D299" s="6" t="str">
        <f t="shared" si="53"/>
        <v>2Trabajo finanzasTotal</v>
      </c>
      <c r="E299" s="29">
        <f>SUM(E295:E298)</f>
        <v>1</v>
      </c>
      <c r="F299" s="56">
        <f>SUMPRODUCT(E295:E298,F295:F298)</f>
        <v>4.6899999999999995</v>
      </c>
      <c r="G299" s="55"/>
    </row>
    <row r="300" spans="1:7" ht="45">
      <c r="A300" s="25" t="s">
        <v>44</v>
      </c>
      <c r="B300" s="6">
        <f t="shared" si="54"/>
        <v>3</v>
      </c>
      <c r="C300" s="6" t="s">
        <v>39</v>
      </c>
      <c r="D300" s="6" t="str">
        <f t="shared" ref="D300:D314" si="55">B300&amp;A300&amp;C300</f>
        <v>3Trabajo finanzasDiseño de la solución</v>
      </c>
      <c r="E300" s="29">
        <v>0.2</v>
      </c>
      <c r="F300" s="56">
        <v>3.5</v>
      </c>
      <c r="G300" s="55" t="s">
        <v>298</v>
      </c>
    </row>
    <row r="301" spans="1:7" ht="30">
      <c r="A301" s="25" t="s">
        <v>44</v>
      </c>
      <c r="B301" s="6">
        <f t="shared" si="54"/>
        <v>3</v>
      </c>
      <c r="C301" s="6" t="s">
        <v>45</v>
      </c>
      <c r="D301" s="6" t="str">
        <f t="shared" si="55"/>
        <v>3Trabajo finanzasPresentación</v>
      </c>
      <c r="E301" s="29">
        <v>0.2</v>
      </c>
      <c r="F301" s="56">
        <v>3.5</v>
      </c>
      <c r="G301" s="55" t="s">
        <v>290</v>
      </c>
    </row>
    <row r="302" spans="1:7" ht="30">
      <c r="A302" s="25" t="s">
        <v>44</v>
      </c>
      <c r="B302" s="6">
        <f t="shared" si="54"/>
        <v>3</v>
      </c>
      <c r="C302" s="6" t="s">
        <v>46</v>
      </c>
      <c r="D302" s="6" t="str">
        <f t="shared" si="55"/>
        <v>3Trabajo finanzasMetodología</v>
      </c>
      <c r="E302" s="29">
        <v>0.3</v>
      </c>
      <c r="F302" s="56">
        <v>3.5</v>
      </c>
      <c r="G302" s="55" t="s">
        <v>291</v>
      </c>
    </row>
    <row r="303" spans="1:7">
      <c r="A303" s="25" t="s">
        <v>44</v>
      </c>
      <c r="B303" s="6">
        <f t="shared" si="54"/>
        <v>3</v>
      </c>
      <c r="C303" s="6" t="s">
        <v>47</v>
      </c>
      <c r="D303" s="6" t="str">
        <f t="shared" si="55"/>
        <v>3Trabajo finanzasAnálisis de resultados</v>
      </c>
      <c r="E303" s="29">
        <v>0.3</v>
      </c>
      <c r="F303" s="56">
        <v>3.5</v>
      </c>
      <c r="G303" s="55"/>
    </row>
    <row r="304" spans="1:7">
      <c r="A304" s="25" t="s">
        <v>44</v>
      </c>
      <c r="B304" s="6">
        <f>B299+1</f>
        <v>3</v>
      </c>
      <c r="C304" s="19" t="s">
        <v>6</v>
      </c>
      <c r="D304" s="6" t="str">
        <f t="shared" si="55"/>
        <v>3Trabajo finanzasTotal</v>
      </c>
      <c r="E304" s="29">
        <f>SUM(E300:E303)</f>
        <v>1</v>
      </c>
      <c r="F304" s="56">
        <f>SUMPRODUCT(E300:E303,F300:F303)</f>
        <v>3.5</v>
      </c>
      <c r="G304" s="55"/>
    </row>
    <row r="305" spans="1:8" ht="30">
      <c r="A305" s="25" t="s">
        <v>44</v>
      </c>
      <c r="B305" s="6">
        <f t="shared" si="54"/>
        <v>4</v>
      </c>
      <c r="C305" s="6" t="s">
        <v>39</v>
      </c>
      <c r="D305" s="6" t="str">
        <f t="shared" si="55"/>
        <v>4Trabajo finanzasDiseño de la solución</v>
      </c>
      <c r="E305" s="29">
        <v>0.2</v>
      </c>
      <c r="F305" s="56">
        <v>4.5</v>
      </c>
      <c r="G305" s="55" t="s">
        <v>286</v>
      </c>
    </row>
    <row r="306" spans="1:8" ht="30">
      <c r="A306" s="25" t="s">
        <v>44</v>
      </c>
      <c r="B306" s="6">
        <f t="shared" si="54"/>
        <v>4</v>
      </c>
      <c r="C306" s="6" t="s">
        <v>45</v>
      </c>
      <c r="D306" s="6" t="str">
        <f t="shared" si="55"/>
        <v>4Trabajo finanzasPresentación</v>
      </c>
      <c r="E306" s="29">
        <v>0.2</v>
      </c>
      <c r="F306" s="56">
        <v>4.5</v>
      </c>
      <c r="G306" s="55" t="s">
        <v>288</v>
      </c>
    </row>
    <row r="307" spans="1:8">
      <c r="A307" s="25" t="s">
        <v>44</v>
      </c>
      <c r="B307" s="6">
        <f t="shared" si="54"/>
        <v>4</v>
      </c>
      <c r="C307" s="6" t="s">
        <v>46</v>
      </c>
      <c r="D307" s="6" t="str">
        <f t="shared" si="55"/>
        <v>4Trabajo finanzasMetodología</v>
      </c>
      <c r="E307" s="29">
        <v>0.3</v>
      </c>
      <c r="F307" s="56">
        <v>5</v>
      </c>
      <c r="G307" s="55" t="s">
        <v>287</v>
      </c>
    </row>
    <row r="308" spans="1:8">
      <c r="A308" s="25" t="s">
        <v>44</v>
      </c>
      <c r="B308" s="6">
        <f t="shared" si="54"/>
        <v>4</v>
      </c>
      <c r="C308" s="6" t="s">
        <v>47</v>
      </c>
      <c r="D308" s="6" t="str">
        <f t="shared" si="55"/>
        <v>4Trabajo finanzasAnálisis de resultados</v>
      </c>
      <c r="E308" s="29">
        <v>0.3</v>
      </c>
      <c r="F308" s="56">
        <v>4.5</v>
      </c>
      <c r="G308" s="55" t="s">
        <v>289</v>
      </c>
    </row>
    <row r="309" spans="1:8">
      <c r="A309" s="25" t="s">
        <v>44</v>
      </c>
      <c r="B309" s="6">
        <f>B304+1</f>
        <v>4</v>
      </c>
      <c r="C309" s="19" t="s">
        <v>6</v>
      </c>
      <c r="D309" s="6" t="str">
        <f t="shared" si="55"/>
        <v>4Trabajo finanzasTotal</v>
      </c>
      <c r="E309" s="29">
        <f>SUM(E305:E308)</f>
        <v>1</v>
      </c>
      <c r="F309" s="56">
        <f>SUMPRODUCT(E305:E308,F305:F308)</f>
        <v>4.6499999999999995</v>
      </c>
      <c r="G309" s="55"/>
    </row>
    <row r="310" spans="1:8" ht="45">
      <c r="A310" s="25" t="s">
        <v>44</v>
      </c>
      <c r="B310" s="6">
        <f t="shared" si="54"/>
        <v>5</v>
      </c>
      <c r="C310" s="6" t="s">
        <v>39</v>
      </c>
      <c r="D310" s="6" t="str">
        <f t="shared" si="55"/>
        <v>5Trabajo finanzasDiseño de la solución</v>
      </c>
      <c r="E310" s="29">
        <v>0.2</v>
      </c>
      <c r="F310" s="56">
        <v>5</v>
      </c>
      <c r="G310" s="55" t="s">
        <v>297</v>
      </c>
      <c r="H310" s="55"/>
    </row>
    <row r="311" spans="1:8">
      <c r="A311" s="25" t="s">
        <v>44</v>
      </c>
      <c r="B311" s="6">
        <f t="shared" si="54"/>
        <v>5</v>
      </c>
      <c r="C311" s="6" t="s">
        <v>45</v>
      </c>
      <c r="D311" s="6" t="str">
        <f t="shared" si="55"/>
        <v>5Trabajo finanzasPresentación</v>
      </c>
      <c r="E311" s="29">
        <v>0.2</v>
      </c>
      <c r="F311" s="56">
        <v>5</v>
      </c>
      <c r="G311" s="55"/>
    </row>
    <row r="312" spans="1:8">
      <c r="A312" s="25" t="s">
        <v>44</v>
      </c>
      <c r="B312" s="6">
        <f t="shared" si="54"/>
        <v>5</v>
      </c>
      <c r="C312" s="6" t="s">
        <v>46</v>
      </c>
      <c r="D312" s="6" t="str">
        <f t="shared" si="55"/>
        <v>5Trabajo finanzasMetodología</v>
      </c>
      <c r="E312" s="29">
        <v>0.3</v>
      </c>
      <c r="F312" s="56">
        <v>5</v>
      </c>
      <c r="G312" s="55"/>
    </row>
    <row r="313" spans="1:8">
      <c r="A313" s="25" t="s">
        <v>44</v>
      </c>
      <c r="B313" s="6">
        <f t="shared" si="54"/>
        <v>5</v>
      </c>
      <c r="C313" s="6" t="s">
        <v>47</v>
      </c>
      <c r="D313" s="6" t="str">
        <f t="shared" si="55"/>
        <v>5Trabajo finanzasAnálisis de resultados</v>
      </c>
      <c r="E313" s="29">
        <v>0.3</v>
      </c>
      <c r="F313" s="56">
        <v>5</v>
      </c>
      <c r="G313" s="55"/>
    </row>
    <row r="314" spans="1:8">
      <c r="A314" s="25" t="s">
        <v>44</v>
      </c>
      <c r="B314" s="6">
        <f>B309+1</f>
        <v>5</v>
      </c>
      <c r="C314" s="19" t="s">
        <v>6</v>
      </c>
      <c r="D314" s="6" t="str">
        <f t="shared" si="55"/>
        <v>5Trabajo finanzasTotal</v>
      </c>
      <c r="E314" s="29">
        <f>SUM(E310:E313)</f>
        <v>1</v>
      </c>
      <c r="F314" s="56">
        <f>SUMPRODUCT(E310:E313,F310:F313)</f>
        <v>5</v>
      </c>
      <c r="G314" s="55"/>
    </row>
    <row r="315" spans="1:8" hidden="1">
      <c r="A315" s="25" t="s">
        <v>44</v>
      </c>
      <c r="B315" s="6">
        <f t="shared" si="54"/>
        <v>6</v>
      </c>
      <c r="C315" s="6" t="s">
        <v>39</v>
      </c>
      <c r="D315" s="6" t="str">
        <f t="shared" ref="D315:D319" si="56">B315&amp;A315&amp;C315</f>
        <v>6Trabajo finanzasDiseño de la solución</v>
      </c>
      <c r="E315" s="29">
        <v>0.2</v>
      </c>
      <c r="F315" s="27"/>
      <c r="G315" s="55"/>
    </row>
    <row r="316" spans="1:8" hidden="1">
      <c r="A316" s="25" t="s">
        <v>44</v>
      </c>
      <c r="B316" s="6">
        <f t="shared" si="54"/>
        <v>6</v>
      </c>
      <c r="C316" s="6" t="s">
        <v>45</v>
      </c>
      <c r="D316" s="6" t="str">
        <f t="shared" si="56"/>
        <v>6Trabajo finanzasPresentación</v>
      </c>
      <c r="E316" s="29">
        <v>0.2</v>
      </c>
      <c r="F316" s="27"/>
      <c r="G316" s="55"/>
    </row>
    <row r="317" spans="1:8" hidden="1">
      <c r="A317" s="25" t="s">
        <v>44</v>
      </c>
      <c r="B317" s="6">
        <f t="shared" si="54"/>
        <v>6</v>
      </c>
      <c r="C317" s="6" t="s">
        <v>46</v>
      </c>
      <c r="D317" s="6" t="str">
        <f t="shared" si="56"/>
        <v>6Trabajo finanzasMetodología</v>
      </c>
      <c r="E317" s="29">
        <v>0.3</v>
      </c>
      <c r="F317" s="27"/>
      <c r="G317" s="55"/>
    </row>
    <row r="318" spans="1:8" hidden="1">
      <c r="A318" s="25" t="s">
        <v>44</v>
      </c>
      <c r="B318" s="6">
        <f t="shared" si="54"/>
        <v>6</v>
      </c>
      <c r="C318" s="6" t="s">
        <v>47</v>
      </c>
      <c r="D318" s="6" t="str">
        <f t="shared" si="56"/>
        <v>6Trabajo finanzasAnálisis de resultados</v>
      </c>
      <c r="E318" s="29">
        <v>0.3</v>
      </c>
      <c r="F318" s="27"/>
      <c r="G318" s="55"/>
    </row>
    <row r="319" spans="1:8" hidden="1">
      <c r="A319" s="25" t="s">
        <v>44</v>
      </c>
      <c r="B319" s="6">
        <f>B314+1</f>
        <v>6</v>
      </c>
      <c r="C319" s="19" t="s">
        <v>6</v>
      </c>
      <c r="D319" s="6" t="str">
        <f t="shared" si="56"/>
        <v>6Trabajo finanzasTotal</v>
      </c>
      <c r="E319" s="29">
        <f>SUM(E315:E318)</f>
        <v>1</v>
      </c>
      <c r="F319" s="56">
        <f>SUMPRODUCT(E315:E318,F315:F318)</f>
        <v>0</v>
      </c>
      <c r="G319" s="55"/>
    </row>
    <row r="320" spans="1:8" ht="30">
      <c r="A320" s="25" t="s">
        <v>44</v>
      </c>
      <c r="B320" s="6">
        <f t="shared" si="54"/>
        <v>7</v>
      </c>
      <c r="C320" s="6" t="s">
        <v>39</v>
      </c>
      <c r="D320" s="6" t="str">
        <f t="shared" ref="D320:D329" si="57">B320&amp;A320&amp;C320</f>
        <v>7Trabajo finanzasDiseño de la solución</v>
      </c>
      <c r="E320" s="29">
        <v>0.2</v>
      </c>
      <c r="F320" s="27">
        <v>2</v>
      </c>
      <c r="G320" s="55" t="s">
        <v>293</v>
      </c>
    </row>
    <row r="321" spans="1:7" ht="45">
      <c r="A321" s="25" t="s">
        <v>44</v>
      </c>
      <c r="B321" s="6">
        <f t="shared" si="54"/>
        <v>7</v>
      </c>
      <c r="C321" s="6" t="s">
        <v>45</v>
      </c>
      <c r="D321" s="6" t="str">
        <f t="shared" si="57"/>
        <v>7Trabajo finanzasPresentación</v>
      </c>
      <c r="E321" s="29">
        <v>0.2</v>
      </c>
      <c r="F321" s="27">
        <v>3</v>
      </c>
      <c r="G321" s="55" t="s">
        <v>292</v>
      </c>
    </row>
    <row r="322" spans="1:7" ht="30">
      <c r="A322" s="25" t="s">
        <v>44</v>
      </c>
      <c r="B322" s="6">
        <f t="shared" si="54"/>
        <v>7</v>
      </c>
      <c r="C322" s="6" t="s">
        <v>46</v>
      </c>
      <c r="D322" s="6" t="str">
        <f t="shared" si="57"/>
        <v>7Trabajo finanzasMetodología</v>
      </c>
      <c r="E322" s="29">
        <v>0.3</v>
      </c>
      <c r="F322" s="27">
        <v>3.5</v>
      </c>
      <c r="G322" s="55" t="s">
        <v>294</v>
      </c>
    </row>
    <row r="323" spans="1:7" ht="30">
      <c r="A323" s="25" t="s">
        <v>44</v>
      </c>
      <c r="B323" s="6">
        <f t="shared" si="54"/>
        <v>7</v>
      </c>
      <c r="C323" s="6" t="s">
        <v>47</v>
      </c>
      <c r="D323" s="6" t="str">
        <f t="shared" si="57"/>
        <v>7Trabajo finanzasAnálisis de resultados</v>
      </c>
      <c r="E323" s="29">
        <v>0.3</v>
      </c>
      <c r="F323" s="27">
        <v>4</v>
      </c>
      <c r="G323" s="55" t="s">
        <v>295</v>
      </c>
    </row>
    <row r="324" spans="1:7">
      <c r="A324" s="25" t="s">
        <v>44</v>
      </c>
      <c r="B324" s="6">
        <f>B319+1</f>
        <v>7</v>
      </c>
      <c r="C324" s="19" t="s">
        <v>6</v>
      </c>
      <c r="D324" s="6" t="str">
        <f t="shared" si="57"/>
        <v>7Trabajo finanzasTotal</v>
      </c>
      <c r="E324" s="29">
        <f>SUM(E320:E323)</f>
        <v>1</v>
      </c>
      <c r="F324" s="56">
        <f>SUMPRODUCT(E320:E323,F320:F323)</f>
        <v>3.25</v>
      </c>
      <c r="G324" s="55"/>
    </row>
    <row r="325" spans="1:7">
      <c r="A325" s="25" t="s">
        <v>44</v>
      </c>
      <c r="B325" s="6">
        <f t="shared" si="54"/>
        <v>8</v>
      </c>
      <c r="C325" s="6" t="s">
        <v>39</v>
      </c>
      <c r="D325" s="6" t="str">
        <f t="shared" si="57"/>
        <v>8Trabajo finanzasDiseño de la solución</v>
      </c>
      <c r="E325" s="29">
        <v>0.2</v>
      </c>
      <c r="F325" s="27">
        <v>5</v>
      </c>
      <c r="G325" s="55"/>
    </row>
    <row r="326" spans="1:7">
      <c r="A326" s="25" t="s">
        <v>44</v>
      </c>
      <c r="B326" s="6">
        <f t="shared" si="54"/>
        <v>8</v>
      </c>
      <c r="C326" s="6" t="s">
        <v>45</v>
      </c>
      <c r="D326" s="6" t="str">
        <f t="shared" si="57"/>
        <v>8Trabajo finanzasPresentación</v>
      </c>
      <c r="E326" s="29">
        <v>0.2</v>
      </c>
      <c r="F326" s="27">
        <v>5</v>
      </c>
      <c r="G326" s="55"/>
    </row>
    <row r="327" spans="1:7">
      <c r="A327" s="25" t="s">
        <v>44</v>
      </c>
      <c r="B327" s="6">
        <f t="shared" si="54"/>
        <v>8</v>
      </c>
      <c r="C327" s="6" t="s">
        <v>46</v>
      </c>
      <c r="D327" s="6" t="str">
        <f t="shared" si="57"/>
        <v>8Trabajo finanzasMetodología</v>
      </c>
      <c r="E327" s="29">
        <v>0.3</v>
      </c>
      <c r="F327" s="27">
        <v>5</v>
      </c>
      <c r="G327" s="55"/>
    </row>
    <row r="328" spans="1:7">
      <c r="A328" s="25" t="s">
        <v>44</v>
      </c>
      <c r="B328" s="6">
        <f t="shared" si="54"/>
        <v>8</v>
      </c>
      <c r="C328" s="6" t="s">
        <v>47</v>
      </c>
      <c r="D328" s="6" t="str">
        <f t="shared" si="57"/>
        <v>8Trabajo finanzasAnálisis de resultados</v>
      </c>
      <c r="E328" s="29">
        <v>0.3</v>
      </c>
      <c r="F328" s="27">
        <v>5</v>
      </c>
      <c r="G328" s="55"/>
    </row>
    <row r="329" spans="1:7">
      <c r="A329" s="25" t="s">
        <v>44</v>
      </c>
      <c r="B329" s="6">
        <f>B324+1</f>
        <v>8</v>
      </c>
      <c r="C329" s="19" t="s">
        <v>6</v>
      </c>
      <c r="D329" s="6" t="str">
        <f t="shared" si="57"/>
        <v>8Trabajo finanzasTotal</v>
      </c>
      <c r="E329" s="29">
        <f>SUM(E325:E328)</f>
        <v>1</v>
      </c>
      <c r="F329" s="56">
        <f>SUMPRODUCT(E325:E328,F325:F328)</f>
        <v>5</v>
      </c>
      <c r="G329" s="55" t="s">
        <v>296</v>
      </c>
    </row>
    <row r="330" spans="1:7">
      <c r="A330" s="10" t="s">
        <v>299</v>
      </c>
      <c r="B330" s="10">
        <v>1</v>
      </c>
      <c r="C330" s="19" t="s">
        <v>6</v>
      </c>
      <c r="D330" s="6" t="str">
        <f t="shared" ref="D330" si="58">B330&amp;A330&amp;C330</f>
        <v>13.  Avances finanzas en clase 1Total</v>
      </c>
      <c r="E330" s="29">
        <v>1</v>
      </c>
      <c r="F330" s="27">
        <v>5</v>
      </c>
      <c r="G330" s="55"/>
    </row>
    <row r="331" spans="1:7">
      <c r="A331" s="10" t="s">
        <v>299</v>
      </c>
      <c r="B331" s="10">
        <f>B330+1</f>
        <v>2</v>
      </c>
      <c r="C331" s="19" t="s">
        <v>6</v>
      </c>
      <c r="D331" s="6" t="str">
        <f t="shared" ref="D331:D338" si="59">B331&amp;A331&amp;C331</f>
        <v>23.  Avances finanzas en clase 1Total</v>
      </c>
      <c r="E331" s="29">
        <v>1</v>
      </c>
      <c r="F331" s="27">
        <v>5</v>
      </c>
      <c r="G331" s="55"/>
    </row>
    <row r="332" spans="1:7">
      <c r="A332" s="10" t="s">
        <v>299</v>
      </c>
      <c r="B332" s="10">
        <f t="shared" ref="B332:B337" si="60">B331+1</f>
        <v>3</v>
      </c>
      <c r="C332" s="19" t="s">
        <v>6</v>
      </c>
      <c r="D332" s="6" t="str">
        <f t="shared" si="59"/>
        <v>33.  Avances finanzas en clase 1Total</v>
      </c>
      <c r="E332" s="29">
        <v>1</v>
      </c>
      <c r="F332" s="27">
        <v>4.5</v>
      </c>
      <c r="G332" s="55" t="s">
        <v>303</v>
      </c>
    </row>
    <row r="333" spans="1:7">
      <c r="A333" s="10" t="s">
        <v>299</v>
      </c>
      <c r="B333" s="10">
        <f t="shared" si="60"/>
        <v>4</v>
      </c>
      <c r="C333" s="19" t="s">
        <v>6</v>
      </c>
      <c r="D333" s="6" t="str">
        <f t="shared" si="59"/>
        <v>43.  Avances finanzas en clase 1Total</v>
      </c>
      <c r="E333" s="29">
        <v>1</v>
      </c>
      <c r="F333" s="27">
        <v>4.5</v>
      </c>
      <c r="G333" s="55"/>
    </row>
    <row r="334" spans="1:7">
      <c r="A334" s="10" t="s">
        <v>299</v>
      </c>
      <c r="B334" s="10">
        <f t="shared" si="60"/>
        <v>5</v>
      </c>
      <c r="C334" s="19" t="s">
        <v>6</v>
      </c>
      <c r="D334" s="6" t="str">
        <f t="shared" si="59"/>
        <v>53.  Avances finanzas en clase 1Total</v>
      </c>
      <c r="E334" s="29">
        <v>1</v>
      </c>
      <c r="F334" s="27">
        <v>5</v>
      </c>
      <c r="G334" s="55" t="s">
        <v>287</v>
      </c>
    </row>
    <row r="335" spans="1:7" hidden="1">
      <c r="A335" s="10" t="s">
        <v>299</v>
      </c>
      <c r="B335" s="10">
        <f t="shared" si="60"/>
        <v>6</v>
      </c>
      <c r="C335" s="19" t="s">
        <v>6</v>
      </c>
      <c r="D335" s="6" t="str">
        <f t="shared" si="59"/>
        <v>63.  Avances finanzas en clase 1Total</v>
      </c>
      <c r="E335" s="29">
        <v>1</v>
      </c>
      <c r="F335" s="27"/>
      <c r="G335" s="55"/>
    </row>
    <row r="336" spans="1:7">
      <c r="A336" s="10" t="s">
        <v>299</v>
      </c>
      <c r="B336" s="10">
        <f t="shared" si="60"/>
        <v>7</v>
      </c>
      <c r="C336" s="19" t="s">
        <v>6</v>
      </c>
      <c r="D336" s="6" t="str">
        <f t="shared" si="59"/>
        <v>73.  Avances finanzas en clase 1Total</v>
      </c>
      <c r="E336" s="29">
        <v>1</v>
      </c>
      <c r="F336" s="27">
        <v>4.5</v>
      </c>
      <c r="G336" s="55" t="s">
        <v>302</v>
      </c>
    </row>
    <row r="337" spans="1:7">
      <c r="A337" s="10" t="s">
        <v>299</v>
      </c>
      <c r="B337" s="10">
        <f t="shared" si="60"/>
        <v>8</v>
      </c>
      <c r="C337" s="19" t="s">
        <v>6</v>
      </c>
      <c r="D337" s="6" t="str">
        <f t="shared" si="59"/>
        <v>83.  Avances finanzas en clase 1Total</v>
      </c>
      <c r="E337" s="29">
        <v>1</v>
      </c>
      <c r="F337" s="27">
        <v>0</v>
      </c>
      <c r="G337" s="55"/>
    </row>
    <row r="338" spans="1:7">
      <c r="A338" s="10" t="s">
        <v>300</v>
      </c>
      <c r="B338" s="10">
        <v>1</v>
      </c>
      <c r="C338" s="19" t="s">
        <v>6</v>
      </c>
      <c r="D338" s="6" t="str">
        <f t="shared" si="59"/>
        <v>14.  Avances finanzas en clase 2Total</v>
      </c>
      <c r="E338" s="29">
        <v>1</v>
      </c>
      <c r="F338" s="27">
        <v>5</v>
      </c>
      <c r="G338" s="55"/>
    </row>
    <row r="339" spans="1:7">
      <c r="A339" s="10" t="s">
        <v>300</v>
      </c>
      <c r="B339" s="10">
        <f>B338+1</f>
        <v>2</v>
      </c>
      <c r="C339" s="19" t="s">
        <v>6</v>
      </c>
      <c r="D339" s="6" t="str">
        <f t="shared" ref="D339:D345" si="61">B339&amp;A339&amp;C339</f>
        <v>24.  Avances finanzas en clase 2Total</v>
      </c>
      <c r="E339" s="29">
        <v>1</v>
      </c>
      <c r="F339" s="27">
        <v>5</v>
      </c>
      <c r="G339" s="55"/>
    </row>
    <row r="340" spans="1:7" ht="30">
      <c r="A340" s="10" t="s">
        <v>300</v>
      </c>
      <c r="B340" s="10">
        <f t="shared" ref="B340:B345" si="62">B339+1</f>
        <v>3</v>
      </c>
      <c r="C340" s="19" t="s">
        <v>6</v>
      </c>
      <c r="D340" s="6" t="str">
        <f t="shared" si="61"/>
        <v>34.  Avances finanzas en clase 2Total</v>
      </c>
      <c r="E340" s="29">
        <v>1</v>
      </c>
      <c r="F340" s="27">
        <v>3</v>
      </c>
      <c r="G340" s="55" t="s">
        <v>305</v>
      </c>
    </row>
    <row r="341" spans="1:7">
      <c r="A341" s="10" t="s">
        <v>300</v>
      </c>
      <c r="B341" s="10">
        <f t="shared" si="62"/>
        <v>4</v>
      </c>
      <c r="C341" s="19" t="s">
        <v>6</v>
      </c>
      <c r="D341" s="6" t="str">
        <f t="shared" si="61"/>
        <v>44.  Avances finanzas en clase 2Total</v>
      </c>
      <c r="E341" s="29">
        <v>1</v>
      </c>
      <c r="F341" s="27">
        <v>5</v>
      </c>
      <c r="G341" s="55"/>
    </row>
    <row r="342" spans="1:7">
      <c r="A342" s="10" t="s">
        <v>300</v>
      </c>
      <c r="B342" s="10">
        <f t="shared" si="62"/>
        <v>5</v>
      </c>
      <c r="C342" s="19" t="s">
        <v>6</v>
      </c>
      <c r="D342" s="6" t="str">
        <f t="shared" si="61"/>
        <v>54.  Avances finanzas en clase 2Total</v>
      </c>
      <c r="E342" s="29">
        <v>1</v>
      </c>
      <c r="F342" s="27">
        <v>0</v>
      </c>
      <c r="G342" s="55"/>
    </row>
    <row r="343" spans="1:7" hidden="1">
      <c r="A343" s="10" t="s">
        <v>300</v>
      </c>
      <c r="B343" s="10">
        <f t="shared" si="62"/>
        <v>6</v>
      </c>
      <c r="C343" s="19" t="s">
        <v>6</v>
      </c>
      <c r="D343" s="6" t="str">
        <f t="shared" si="61"/>
        <v>64.  Avances finanzas en clase 2Total</v>
      </c>
      <c r="E343" s="29">
        <v>1</v>
      </c>
      <c r="F343" s="27"/>
      <c r="G343" s="55"/>
    </row>
    <row r="344" spans="1:7">
      <c r="A344" s="10" t="s">
        <v>300</v>
      </c>
      <c r="B344" s="10">
        <f t="shared" si="62"/>
        <v>7</v>
      </c>
      <c r="C344" s="19" t="s">
        <v>6</v>
      </c>
      <c r="D344" s="6" t="str">
        <f t="shared" si="61"/>
        <v>74.  Avances finanzas en clase 2Total</v>
      </c>
      <c r="E344" s="29">
        <v>1</v>
      </c>
      <c r="F344" s="27">
        <v>4</v>
      </c>
      <c r="G344" s="55" t="s">
        <v>306</v>
      </c>
    </row>
    <row r="345" spans="1:7">
      <c r="A345" s="10" t="s">
        <v>300</v>
      </c>
      <c r="B345" s="10">
        <f t="shared" si="62"/>
        <v>8</v>
      </c>
      <c r="C345" s="19" t="s">
        <v>6</v>
      </c>
      <c r="D345" s="6" t="str">
        <f t="shared" si="61"/>
        <v>84.  Avances finanzas en clase 2Total</v>
      </c>
      <c r="E345" s="29">
        <v>1</v>
      </c>
      <c r="F345" s="27">
        <v>0</v>
      </c>
      <c r="G345" s="55"/>
    </row>
    <row r="346" spans="1:7">
      <c r="A346" s="10" t="s">
        <v>301</v>
      </c>
      <c r="B346" s="10">
        <v>1</v>
      </c>
      <c r="C346" s="19" t="s">
        <v>6</v>
      </c>
      <c r="D346" s="6" t="str">
        <f t="shared" ref="D346:D353" si="63">B346&amp;A346&amp;C346</f>
        <v>15.  Avances finanzas en clase 3Total</v>
      </c>
      <c r="E346" s="29">
        <v>1</v>
      </c>
      <c r="F346" s="27">
        <v>5</v>
      </c>
      <c r="G346" s="55"/>
    </row>
    <row r="347" spans="1:7">
      <c r="A347" s="10" t="s">
        <v>301</v>
      </c>
      <c r="B347" s="10">
        <f>B346+1</f>
        <v>2</v>
      </c>
      <c r="C347" s="19" t="s">
        <v>6</v>
      </c>
      <c r="D347" s="6" t="str">
        <f t="shared" si="63"/>
        <v>25.  Avances finanzas en clase 3Total</v>
      </c>
      <c r="E347" s="29">
        <v>1</v>
      </c>
      <c r="F347" s="27">
        <v>5</v>
      </c>
      <c r="G347" s="55"/>
    </row>
    <row r="348" spans="1:7">
      <c r="A348" s="10" t="s">
        <v>301</v>
      </c>
      <c r="B348" s="10">
        <f t="shared" ref="B348:B353" si="64">B347+1</f>
        <v>3</v>
      </c>
      <c r="C348" s="19" t="s">
        <v>6</v>
      </c>
      <c r="D348" s="6" t="str">
        <f t="shared" si="63"/>
        <v>35.  Avances finanzas en clase 3Total</v>
      </c>
      <c r="E348" s="29">
        <v>1</v>
      </c>
      <c r="F348" s="27">
        <v>4</v>
      </c>
      <c r="G348" s="55" t="s">
        <v>307</v>
      </c>
    </row>
    <row r="349" spans="1:7">
      <c r="A349" s="10" t="s">
        <v>301</v>
      </c>
      <c r="B349" s="10">
        <f t="shared" si="64"/>
        <v>4</v>
      </c>
      <c r="C349" s="19" t="s">
        <v>6</v>
      </c>
      <c r="D349" s="6" t="str">
        <f t="shared" si="63"/>
        <v>45.  Avances finanzas en clase 3Total</v>
      </c>
      <c r="E349" s="29">
        <v>1</v>
      </c>
      <c r="F349" s="27">
        <v>5</v>
      </c>
      <c r="G349" s="55"/>
    </row>
    <row r="350" spans="1:7">
      <c r="A350" s="10" t="s">
        <v>301</v>
      </c>
      <c r="B350" s="10">
        <f t="shared" si="64"/>
        <v>5</v>
      </c>
      <c r="C350" s="19" t="s">
        <v>6</v>
      </c>
      <c r="D350" s="6" t="str">
        <f t="shared" si="63"/>
        <v>55.  Avances finanzas en clase 3Total</v>
      </c>
      <c r="E350" s="29">
        <v>1</v>
      </c>
      <c r="F350" s="27">
        <v>4.5</v>
      </c>
      <c r="G350" s="55" t="s">
        <v>308</v>
      </c>
    </row>
    <row r="351" spans="1:7" hidden="1">
      <c r="A351" s="10" t="s">
        <v>301</v>
      </c>
      <c r="B351" s="10">
        <f t="shared" si="64"/>
        <v>6</v>
      </c>
      <c r="C351" s="19" t="s">
        <v>6</v>
      </c>
      <c r="D351" s="6" t="str">
        <f t="shared" si="63"/>
        <v>65.  Avances finanzas en clase 3Total</v>
      </c>
      <c r="E351" s="29">
        <v>1</v>
      </c>
      <c r="F351" s="27"/>
      <c r="G351" s="55"/>
    </row>
    <row r="352" spans="1:7">
      <c r="A352" s="10" t="s">
        <v>301</v>
      </c>
      <c r="B352" s="10">
        <f t="shared" si="64"/>
        <v>7</v>
      </c>
      <c r="C352" s="19" t="s">
        <v>6</v>
      </c>
      <c r="D352" s="6" t="str">
        <f t="shared" si="63"/>
        <v>75.  Avances finanzas en clase 3Total</v>
      </c>
      <c r="E352" s="29">
        <v>1</v>
      </c>
      <c r="F352" s="27">
        <v>4.5</v>
      </c>
      <c r="G352" s="55"/>
    </row>
    <row r="353" spans="1:7">
      <c r="A353" s="10" t="s">
        <v>301</v>
      </c>
      <c r="B353" s="10">
        <f t="shared" si="64"/>
        <v>8</v>
      </c>
      <c r="C353" s="19" t="s">
        <v>6</v>
      </c>
      <c r="D353" s="6" t="str">
        <f t="shared" si="63"/>
        <v>85.  Avances finanzas en clase 3Total</v>
      </c>
      <c r="E353" s="29">
        <v>1</v>
      </c>
      <c r="F353" s="27">
        <v>3</v>
      </c>
      <c r="G353" s="55" t="s">
        <v>304</v>
      </c>
    </row>
  </sheetData>
  <autoFilter ref="A1:H1" xr:uid="{A4235DEC-6098-44EE-9700-A7DA73879F2C}"/>
  <mergeCells count="26">
    <mergeCell ref="H230:H235"/>
    <mergeCell ref="H218:H223"/>
    <mergeCell ref="H236:H241"/>
    <mergeCell ref="H110:H115"/>
    <mergeCell ref="H116:H121"/>
    <mergeCell ref="H212:H217"/>
    <mergeCell ref="H188:H193"/>
    <mergeCell ref="H206:H211"/>
    <mergeCell ref="H194:H198"/>
    <mergeCell ref="H199:H205"/>
    <mergeCell ref="H26:H29"/>
    <mergeCell ref="H32:H37"/>
    <mergeCell ref="H2:H7"/>
    <mergeCell ref="H8:H13"/>
    <mergeCell ref="H14:H19"/>
    <mergeCell ref="H20:H25"/>
    <mergeCell ref="H92:H97"/>
    <mergeCell ref="H38:H43"/>
    <mergeCell ref="H44:H49"/>
    <mergeCell ref="H86:H91"/>
    <mergeCell ref="H98:H103"/>
    <mergeCell ref="H104:H109"/>
    <mergeCell ref="H134:H139"/>
    <mergeCell ref="H182:H187"/>
    <mergeCell ref="H122:H127"/>
    <mergeCell ref="G170:G171"/>
  </mergeCells>
  <conditionalFormatting sqref="C1:C1048576">
    <cfRule type="cellIs" dxfId="1" priority="2" operator="equal">
      <formula>"Total"</formula>
    </cfRule>
  </conditionalFormatting>
  <conditionalFormatting sqref="E1:E1048576">
    <cfRule type="cellIs" dxfId="0" priority="1" operator="between">
      <formula>1</formula>
      <formul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4E515-84D0-4123-A2F5-6C69B93A1DE1}">
  <dimension ref="A1:C9"/>
  <sheetViews>
    <sheetView workbookViewId="0">
      <selection activeCell="B2" sqref="B2:B9"/>
    </sheetView>
  </sheetViews>
  <sheetFormatPr baseColWidth="10" defaultRowHeight="15"/>
  <cols>
    <col min="1" max="1" width="36" customWidth="1"/>
    <col min="2" max="2" width="21.42578125" customWidth="1"/>
  </cols>
  <sheetData>
    <row r="1" spans="1:3">
      <c r="A1" s="7" t="s">
        <v>1</v>
      </c>
      <c r="B1" s="73" t="s">
        <v>309</v>
      </c>
    </row>
    <row r="2" spans="1:3">
      <c r="A2" s="34" t="s">
        <v>74</v>
      </c>
      <c r="B2" s="12">
        <v>4.5</v>
      </c>
      <c r="C2" t="s">
        <v>109</v>
      </c>
    </row>
    <row r="3" spans="1:3">
      <c r="A3" s="34" t="s">
        <v>95</v>
      </c>
      <c r="B3" s="12">
        <v>5</v>
      </c>
      <c r="C3" t="s">
        <v>109</v>
      </c>
    </row>
    <row r="4" spans="1:3">
      <c r="A4" s="34" t="s">
        <v>58</v>
      </c>
      <c r="B4" s="12">
        <v>4.7</v>
      </c>
      <c r="C4" t="s">
        <v>109</v>
      </c>
    </row>
    <row r="5" spans="1:3">
      <c r="A5" s="34" t="s">
        <v>64</v>
      </c>
      <c r="B5" s="12">
        <v>4.8</v>
      </c>
      <c r="C5" t="s">
        <v>109</v>
      </c>
    </row>
    <row r="6" spans="1:3">
      <c r="A6" s="34" t="s">
        <v>81</v>
      </c>
      <c r="B6" s="12">
        <v>5</v>
      </c>
      <c r="C6" t="s">
        <v>109</v>
      </c>
    </row>
    <row r="7" spans="1:3">
      <c r="A7" s="35" t="s">
        <v>101</v>
      </c>
      <c r="B7" s="12">
        <v>4.8</v>
      </c>
      <c r="C7" t="s">
        <v>109</v>
      </c>
    </row>
    <row r="8" spans="1:3">
      <c r="A8" s="34" t="s">
        <v>62</v>
      </c>
      <c r="B8" s="12">
        <v>4.5</v>
      </c>
      <c r="C8" t="s">
        <v>109</v>
      </c>
    </row>
    <row r="9" spans="1:3">
      <c r="A9" s="34" t="s">
        <v>85</v>
      </c>
      <c r="B9" s="12">
        <v>4.4000000000000004</v>
      </c>
      <c r="C9"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consolidado_notas</vt:lpstr>
      <vt:lpstr>grupos HR</vt:lpstr>
      <vt:lpstr>seguimiento_HR</vt:lpstr>
      <vt:lpstr>seguimiento_mark</vt:lpstr>
      <vt:lpstr>seguimiento_salud</vt:lpstr>
      <vt:lpstr>seguimiento_finanzas</vt:lpstr>
      <vt:lpstr>bonificaciones</vt:lpstr>
      <vt:lpstr>retroalimenación</vt:lpstr>
      <vt:lpstr>seguimientos_extra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JUAN CAMILO ESPANA LOPERA</cp:lastModifiedBy>
  <dcterms:created xsi:type="dcterms:W3CDTF">2022-06-17T17:04:45Z</dcterms:created>
  <dcterms:modified xsi:type="dcterms:W3CDTF">2024-12-03T22:05:38Z</dcterms:modified>
</cp:coreProperties>
</file>